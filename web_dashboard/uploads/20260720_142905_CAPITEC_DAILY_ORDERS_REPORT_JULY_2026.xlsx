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8" documentId="11_0A98AACF13C2A3F3263299B4300B9B600159DC19" xr6:coauthVersionLast="47" xr6:coauthVersionMax="47" xr10:uidLastSave="{FB087F4A-F3DB-4299-9A05-18690A910E23}"/>
  <bookViews>
    <workbookView xWindow="-28920" yWindow="-120" windowWidth="29040" windowHeight="15720" firstSheet="11" activeTab="12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CAPITEC SUMMARY FILE REPORT " sheetId="2" r:id="rId14"/>
    <sheet name="DSV CONSUMABLES " sheetId="15" r:id="rId15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<sst xmlns="http://schemas.openxmlformats.org/spreadsheetml/2006/main" count="1848" uniqueCount="1175">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</sst>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5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14" fontId="8" fillId="8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F9933"/>
      <color rgb="FF000000"/>
      <color rgb="FF666633"/>
      <color rgb="FFF40C80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225292</v>
      </c>
      <c r="B2" s="14" t="s">
        <v>1092</v>
      </c>
      <c r="C2" s="7">
        <v>2126</v>
      </c>
      <c r="D2" s="7" t="s">
        <v>1093</v>
      </c>
      <c r="E2" s="7" t="s">
        <v>23</v>
      </c>
      <c r="F2" s="7">
        <v>3</v>
      </c>
      <c r="G2" s="8" t="s">
        <v>1096</v>
      </c>
      <c r="H2" s="9" t="s">
        <v>1097</v>
      </c>
      <c r="I2" s="9">
        <v>2320</v>
      </c>
    </row>
    <row r="3" spans="1:9" ht="17" thickTop="1" thickBot="1" x14ac:dyDescent="0.45">
      <c r="A3" s="7">
        <v>225308</v>
      </c>
      <c r="B3" s="14" t="s">
        <v>1092</v>
      </c>
      <c r="C3" s="7">
        <v>2339</v>
      </c>
      <c r="D3" s="7" t="s">
        <v>1094</v>
      </c>
      <c r="E3" s="7" t="s">
        <v>23</v>
      </c>
      <c r="F3" s="7">
        <v>2</v>
      </c>
      <c r="G3" s="8" t="s">
        <v>1098</v>
      </c>
      <c r="H3" s="9" t="s">
        <v>1099</v>
      </c>
      <c r="I3" s="9">
        <v>2322</v>
      </c>
    </row>
    <row r="4" spans="1:9" ht="17" thickTop="1" thickBot="1" x14ac:dyDescent="0.45">
      <c r="A4" s="7">
        <v>225321</v>
      </c>
      <c r="B4" s="14" t="s">
        <v>1092</v>
      </c>
      <c r="C4" s="7">
        <v>4023</v>
      </c>
      <c r="D4" s="7" t="s">
        <v>1095</v>
      </c>
      <c r="E4" s="7" t="s">
        <v>10</v>
      </c>
      <c r="F4" s="7">
        <v>5</v>
      </c>
      <c r="G4" s="8" t="s">
        <v>1100</v>
      </c>
      <c r="H4" s="9" t="s">
        <v>1101</v>
      </c>
      <c r="I4" s="9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225365</v>
      </c>
      <c r="B2" s="14" t="s">
        <v>1102</v>
      </c>
      <c r="C2" s="7">
        <v>2067</v>
      </c>
      <c r="D2" s="7" t="s">
        <v>748</v>
      </c>
      <c r="E2" s="7" t="s">
        <v>10</v>
      </c>
      <c r="F2" s="7">
        <v>3</v>
      </c>
      <c r="G2" s="8" t="s">
        <v>1084</v>
      </c>
      <c r="H2" s="9" t="s">
        <v>1105</v>
      </c>
      <c r="I2" s="9" t="s">
        <v>1106</v>
      </c>
    </row>
    <row r="3" spans="1:9" ht="17" thickTop="1" thickBot="1" x14ac:dyDescent="0.45">
      <c r="A3" s="7">
        <v>225414</v>
      </c>
      <c r="B3" s="14" t="s">
        <v>1102</v>
      </c>
      <c r="C3" s="7">
        <v>2200</v>
      </c>
      <c r="D3" s="7" t="s">
        <v>1103</v>
      </c>
      <c r="E3" s="7" t="s">
        <v>10</v>
      </c>
      <c r="F3" s="7">
        <v>1</v>
      </c>
      <c r="G3" s="8" t="s">
        <v>1107</v>
      </c>
      <c r="H3" s="9" t="s">
        <v>1108</v>
      </c>
      <c r="I3" s="9" t="s">
        <v>1109</v>
      </c>
    </row>
    <row r="4" spans="1:9" ht="17" thickTop="1" thickBot="1" x14ac:dyDescent="0.45">
      <c r="A4" s="7">
        <v>225402</v>
      </c>
      <c r="B4" s="14" t="s">
        <v>1102</v>
      </c>
      <c r="C4" s="7">
        <v>4191</v>
      </c>
      <c r="D4" s="7" t="s">
        <v>1104</v>
      </c>
      <c r="E4" s="7" t="s">
        <v>10</v>
      </c>
      <c r="F4" s="7">
        <v>2</v>
      </c>
      <c r="G4" s="8" t="s">
        <v>1110</v>
      </c>
      <c r="H4" s="9" t="s">
        <v>1111</v>
      </c>
      <c r="I4" s="9" t="s">
        <v>1112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225422</v>
      </c>
      <c r="B2" s="14" t="s">
        <v>1113</v>
      </c>
      <c r="C2" s="7">
        <v>2102</v>
      </c>
      <c r="D2" s="7" t="s">
        <v>1114</v>
      </c>
      <c r="E2" s="7" t="s">
        <v>10</v>
      </c>
      <c r="F2" s="7">
        <v>1</v>
      </c>
      <c r="G2" s="8" t="s">
        <v>1115</v>
      </c>
      <c r="H2" s="9" t="s">
        <v>1116</v>
      </c>
      <c r="I2" s="9" t="s">
        <v>1117</v>
      </c>
    </row>
    <row r="3" spans="1:9" ht="17" thickTop="1" thickBot="1" x14ac:dyDescent="0.45">
      <c r="A3" s="7">
        <v>225449</v>
      </c>
      <c r="B3" s="14" t="s">
        <v>1113</v>
      </c>
      <c r="C3" s="7">
        <v>4023</v>
      </c>
      <c r="D3" s="7" t="s">
        <v>1095</v>
      </c>
      <c r="E3" s="7" t="s">
        <v>23</v>
      </c>
      <c r="F3" s="7">
        <v>2</v>
      </c>
      <c r="G3" s="8" t="s">
        <v>1118</v>
      </c>
      <c r="H3" s="9" t="s">
        <v>1119</v>
      </c>
      <c r="I3" s="9" t="s">
        <v>1122</v>
      </c>
    </row>
    <row r="4" spans="1:9" ht="17" thickTop="1" thickBot="1" x14ac:dyDescent="0.45">
      <c r="A4" s="7">
        <v>225456</v>
      </c>
      <c r="B4" s="14" t="s">
        <v>1113</v>
      </c>
      <c r="C4" s="7">
        <v>4180</v>
      </c>
      <c r="D4" s="7" t="s">
        <v>790</v>
      </c>
      <c r="E4" s="7" t="s">
        <v>23</v>
      </c>
      <c r="F4" s="7">
        <v>3</v>
      </c>
      <c r="G4" s="8" t="s">
        <v>1120</v>
      </c>
      <c r="H4" s="9" t="s">
        <v>1121</v>
      </c>
      <c r="I4" s="9" t="s">
        <v>1123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225520</v>
      </c>
      <c r="B2" s="14" t="s">
        <v>1129</v>
      </c>
      <c r="C2" s="7">
        <v>4019</v>
      </c>
      <c r="D2" s="7" t="s">
        <v>1130</v>
      </c>
      <c r="E2" s="7" t="s">
        <v>10</v>
      </c>
      <c r="F2" s="7">
        <v>1</v>
      </c>
      <c r="G2" s="8" t="s">
        <v>1131</v>
      </c>
      <c r="H2" s="9" t="s">
        <v>1132</v>
      </c>
      <c r="I2" s="9" t="s">
        <v>1133</v>
      </c>
    </row>
    <row r="3" spans="1:9" ht="17" thickTop="1" thickBot="1" x14ac:dyDescent="0.45">
      <c r="A3" s="7">
        <v>225556</v>
      </c>
      <c r="B3" s="14" t="s">
        <v>1129</v>
      </c>
      <c r="C3" s="7">
        <v>4429</v>
      </c>
      <c r="D3" s="7" t="s">
        <v>512</v>
      </c>
      <c r="E3" s="7" t="s">
        <v>23</v>
      </c>
      <c r="F3" s="7">
        <v>2</v>
      </c>
      <c r="G3" s="8" t="s">
        <v>1134</v>
      </c>
      <c r="H3" s="9" t="s">
        <v>1135</v>
      </c>
      <c r="I3" s="9" t="s">
        <v>1136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tabSelected="1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225569</v>
      </c>
      <c r="B2" s="14" t="s">
        <v>1137</v>
      </c>
      <c r="C2" s="7">
        <v>2117</v>
      </c>
      <c r="D2" s="7" t="s">
        <v>26</v>
      </c>
      <c r="E2" s="7" t="s">
        <v>10</v>
      </c>
      <c r="F2" s="7">
        <v>3</v>
      </c>
      <c r="G2" s="8" t="s">
        <v>1144</v>
      </c>
      <c r="H2" s="9" t="s">
        <v>1145</v>
      </c>
      <c r="I2" s="9" t="s">
        <v>1146</v>
      </c>
    </row>
    <row r="3" spans="1:9" ht="17" thickTop="1" thickBot="1" x14ac:dyDescent="0.45">
      <c r="A3" s="7">
        <v>225570</v>
      </c>
      <c r="B3" s="14" t="s">
        <v>1137</v>
      </c>
      <c r="C3" s="7">
        <v>2125</v>
      </c>
      <c r="D3" s="7" t="s">
        <v>600</v>
      </c>
      <c r="E3" s="7" t="s">
        <v>23</v>
      </c>
      <c r="F3" s="7">
        <v>3</v>
      </c>
      <c r="G3" s="8" t="s">
        <v>1147</v>
      </c>
      <c r="H3" s="9" t="s">
        <v>1148</v>
      </c>
      <c r="I3" s="9" t="s">
        <v>1149</v>
      </c>
    </row>
    <row r="4" spans="1:9" ht="17" thickTop="1" thickBot="1" x14ac:dyDescent="0.45">
      <c r="A4" s="7">
        <v>225571</v>
      </c>
      <c r="B4" s="14" t="s">
        <v>1137</v>
      </c>
      <c r="C4" s="7">
        <v>2130</v>
      </c>
      <c r="D4" s="7" t="s">
        <v>1138</v>
      </c>
      <c r="E4" s="7" t="s">
        <v>23</v>
      </c>
      <c r="F4" s="7">
        <v>4</v>
      </c>
      <c r="G4" s="8" t="s">
        <v>1150</v>
      </c>
      <c r="H4" s="9" t="s">
        <v>1151</v>
      </c>
      <c r="I4" s="9" t="s">
        <v>1152</v>
      </c>
    </row>
    <row r="5" spans="1:9" ht="17" thickTop="1" thickBot="1" x14ac:dyDescent="0.45">
      <c r="A5" s="7">
        <v>225572</v>
      </c>
      <c r="B5" s="14" t="s">
        <v>1137</v>
      </c>
      <c r="C5" s="7">
        <v>2141</v>
      </c>
      <c r="D5" s="7" t="s">
        <v>1139</v>
      </c>
      <c r="E5" s="7" t="s">
        <v>23</v>
      </c>
      <c r="F5" s="7">
        <v>2</v>
      </c>
      <c r="G5" s="8" t="s">
        <v>1156</v>
      </c>
      <c r="H5" s="9" t="s">
        <v>1157</v>
      </c>
      <c r="I5" s="9" t="s">
        <v>1158</v>
      </c>
    </row>
    <row r="6" spans="1:9" ht="17" thickTop="1" thickBot="1" x14ac:dyDescent="0.45">
      <c r="A6" s="7">
        <v>225581</v>
      </c>
      <c r="B6" s="14" t="s">
        <v>1137</v>
      </c>
      <c r="C6" s="7">
        <v>2274</v>
      </c>
      <c r="D6" s="7" t="s">
        <v>788</v>
      </c>
      <c r="E6" s="7" t="s">
        <v>23</v>
      </c>
      <c r="F6" s="7">
        <v>1</v>
      </c>
      <c r="G6" s="8" t="s">
        <v>1155</v>
      </c>
      <c r="H6" s="9">
        <v>40978</v>
      </c>
      <c r="I6" s="9" t="s">
        <v>1154</v>
      </c>
    </row>
    <row r="7" spans="1:9" ht="17" thickTop="1" thickBot="1" x14ac:dyDescent="0.45">
      <c r="A7" s="7">
        <v>225593</v>
      </c>
      <c r="B7" s="14" t="s">
        <v>1137</v>
      </c>
      <c r="C7" s="7">
        <v>2370</v>
      </c>
      <c r="D7" s="7" t="s">
        <v>305</v>
      </c>
      <c r="E7" s="7" t="s">
        <v>23</v>
      </c>
      <c r="F7" s="7">
        <v>1</v>
      </c>
      <c r="G7" s="8" t="s">
        <v>1159</v>
      </c>
      <c r="H7" s="9">
        <v>40974</v>
      </c>
      <c r="I7" s="9" t="s">
        <v>1160</v>
      </c>
    </row>
    <row r="8" spans="1:9" ht="17" thickTop="1" thickBot="1" x14ac:dyDescent="0.45">
      <c r="A8" s="7">
        <v>225642</v>
      </c>
      <c r="B8" s="14" t="s">
        <v>1137</v>
      </c>
      <c r="C8" s="7">
        <v>4395</v>
      </c>
      <c r="D8" s="7" t="s">
        <v>1140</v>
      </c>
      <c r="E8" s="7" t="s">
        <v>10</v>
      </c>
      <c r="F8" s="7">
        <v>4</v>
      </c>
      <c r="G8" s="8" t="s">
        <v>1161</v>
      </c>
      <c r="H8" s="9" t="s">
        <v>1162</v>
      </c>
      <c r="I8" s="9" t="s">
        <v>1153</v>
      </c>
    </row>
    <row r="9" spans="1:9" ht="17" thickTop="1" thickBot="1" x14ac:dyDescent="0.45">
      <c r="A9" s="7">
        <v>225657</v>
      </c>
      <c r="B9" s="14" t="s">
        <v>1137</v>
      </c>
      <c r="C9" s="7">
        <v>2468</v>
      </c>
      <c r="D9" s="7" t="s">
        <v>1141</v>
      </c>
      <c r="E9" s="7" t="s">
        <v>10</v>
      </c>
      <c r="F9" s="7">
        <v>1</v>
      </c>
      <c r="G9" s="8" t="s">
        <v>1163</v>
      </c>
      <c r="H9" s="9" t="s">
        <v>1164</v>
      </c>
      <c r="I9" s="9" t="s">
        <v>1165</v>
      </c>
    </row>
    <row r="10" spans="1:9" ht="17" thickTop="1" thickBot="1" x14ac:dyDescent="0.45">
      <c r="A10" s="7">
        <v>225664</v>
      </c>
      <c r="B10" s="14" t="s">
        <v>1137</v>
      </c>
      <c r="C10" s="7">
        <v>4159</v>
      </c>
      <c r="D10" s="7" t="s">
        <v>1142</v>
      </c>
      <c r="E10" s="7" t="s">
        <v>10</v>
      </c>
      <c r="F10" s="7">
        <v>4</v>
      </c>
      <c r="G10" s="8" t="s">
        <v>1166</v>
      </c>
      <c r="H10" s="9" t="s">
        <v>1167</v>
      </c>
      <c r="I10" s="9" t="s">
        <v>1168</v>
      </c>
    </row>
    <row r="11" spans="1:9" ht="17" thickTop="1" thickBot="1" x14ac:dyDescent="0.45">
      <c r="A11" s="7">
        <v>225671</v>
      </c>
      <c r="B11" s="14" t="s">
        <v>1137</v>
      </c>
      <c r="C11" s="7">
        <v>4393</v>
      </c>
      <c r="D11" s="7" t="s">
        <v>1143</v>
      </c>
      <c r="E11" s="7" t="s">
        <v>23</v>
      </c>
      <c r="F11" s="7">
        <v>1</v>
      </c>
      <c r="G11" s="8" t="s">
        <v>1169</v>
      </c>
      <c r="H11" s="9">
        <v>40979</v>
      </c>
      <c r="I11" s="9" t="s">
        <v>1170</v>
      </c>
    </row>
    <row r="12" spans="1:9" ht="17" thickTop="1" thickBot="1" x14ac:dyDescent="0.45">
      <c r="A12" s="7">
        <v>225673</v>
      </c>
      <c r="B12" s="14" t="s">
        <v>1137</v>
      </c>
      <c r="C12" s="7">
        <v>4399</v>
      </c>
      <c r="D12" s="7" t="s">
        <v>598</v>
      </c>
      <c r="E12" s="7" t="s">
        <v>23</v>
      </c>
      <c r="F12" s="7">
        <v>1</v>
      </c>
      <c r="G12" s="8" t="s">
        <v>1171</v>
      </c>
      <c r="H12" s="9">
        <v>40980</v>
      </c>
      <c r="I12" s="9" t="s">
        <v>1172</v>
      </c>
    </row>
    <row r="13" spans="1:9" ht="17" thickTop="1" thickBot="1" x14ac:dyDescent="0.45">
      <c r="A13" s="15">
        <v>225678</v>
      </c>
      <c r="B13" s="16" t="s">
        <v>1137</v>
      </c>
      <c r="C13" s="15">
        <v>2200</v>
      </c>
      <c r="D13" s="15" t="s">
        <v>1103</v>
      </c>
      <c r="E13" s="15" t="s">
        <v>23</v>
      </c>
      <c r="F13" s="15">
        <v>1</v>
      </c>
      <c r="G13" s="23" t="s">
        <v>1173</v>
      </c>
      <c r="H13" s="24">
        <v>40987</v>
      </c>
      <c r="I13" s="24" t="s">
        <v>1174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2:F23"/>
  <sheetViews>
    <sheetView showGridLines="0" zoomScaleNormal="100" workbookViewId="0">
      <selection activeCell="J15" sqref="J15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8" t="s">
        <v>636</v>
      </c>
      <c r="C3" s="18"/>
      <c r="D3" s="18"/>
      <c r="E3" s="18"/>
      <c r="F3" s="18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900</v>
      </c>
      <c r="E7" s="3">
        <v>498300</v>
      </c>
      <c r="F7" s="2" t="s">
        <v>643</v>
      </c>
    </row>
    <row r="8" spans="2:6" ht="35.5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16300</v>
      </c>
      <c r="E13" s="1">
        <v>43700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9" t="s">
        <v>650</v>
      </c>
      <c r="D16" s="19"/>
      <c r="E16" s="5" t="s">
        <v>651</v>
      </c>
    </row>
    <row r="17" spans="3:5" ht="41.5" customHeight="1" thickTop="1" thickBot="1" x14ac:dyDescent="0.4">
      <c r="C17" s="17" t="s">
        <v>652</v>
      </c>
      <c r="D17" s="17"/>
      <c r="E17" s="1">
        <f>SUM(D7:D12)</f>
        <v>1997700</v>
      </c>
    </row>
    <row r="18" spans="3:5" ht="39.65" customHeight="1" thickTop="1" thickBot="1" x14ac:dyDescent="0.4">
      <c r="C18" s="17" t="s">
        <v>653</v>
      </c>
      <c r="D18" s="17"/>
      <c r="E18" s="1">
        <f>SUM(D13:D13)</f>
        <v>16300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9" t="s">
        <v>654</v>
      </c>
      <c r="D21" s="19"/>
      <c r="E21" s="5" t="s">
        <v>651</v>
      </c>
    </row>
    <row r="22" spans="3:5" ht="41.5" customHeight="1" thickTop="1" thickBot="1" x14ac:dyDescent="0.4">
      <c r="C22" s="17" t="s">
        <v>732</v>
      </c>
      <c r="D22" s="17"/>
      <c r="E22" s="1">
        <f>E17</f>
        <v>1997700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C3:G12"/>
  <sheetViews>
    <sheetView showGridLines="0" topLeftCell="A5" zoomScaleNormal="100" workbookViewId="0">
      <selection activeCell="E9" sqref="E9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0" t="s">
        <v>655</v>
      </c>
      <c r="D4" s="21"/>
      <c r="E4" s="21"/>
      <c r="F4" s="21"/>
      <c r="G4" s="22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1983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3396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1699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9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2026-07-20T11:37:21Z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