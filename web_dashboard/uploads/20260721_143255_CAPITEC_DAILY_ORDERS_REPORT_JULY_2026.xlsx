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8" documentId="11_ED3324F826C19FB349BF91D74EB2676875D8FF77" xr6:coauthVersionLast="47" xr6:coauthVersionMax="47" xr10:uidLastSave="{FFE48D57-623B-4EAC-B850-4C3E8F79A130}"/>
  <bookViews>
    <workbookView xWindow="-28920" yWindow="-120" windowWidth="29040" windowHeight="15720" firstSheet="12" activeTab="13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CAPITEC SUMMARY FILE REPORT " sheetId="2" r:id="rId15"/>
    <sheet name="DSV CONSUMABLES " sheetId="15" r:id="rId16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<sst xmlns="http://schemas.openxmlformats.org/spreadsheetml/2006/main" count="1925" uniqueCount="1213">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</sst>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40980</v>
      </c>
      <c r="I12" s="9" t="s">
        <v>1172</v>
      </c>
    </row>
    <row r="13" spans="1:9" ht="17" thickTop="1" thickBot="1" x14ac:dyDescent="0.45">
      <c r="A13" s="15">
        <v>225678</v>
      </c>
      <c r="B13" s="16" t="s">
        <v>1137</v>
      </c>
      <c r="C13" s="15">
        <v>2200</v>
      </c>
      <c r="D13" s="15" t="s">
        <v>1103</v>
      </c>
      <c r="E13" s="15" t="s">
        <v>23</v>
      </c>
      <c r="F13" s="15">
        <v>1</v>
      </c>
      <c r="G13" s="17" t="s">
        <v>1173</v>
      </c>
      <c r="H13" s="18">
        <v>40987</v>
      </c>
      <c r="I13" s="18" t="s">
        <v>1174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abSelected="1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225691</v>
      </c>
      <c r="B2" s="14" t="s">
        <v>1175</v>
      </c>
      <c r="C2" s="7">
        <v>2085</v>
      </c>
      <c r="D2" s="7" t="s">
        <v>19</v>
      </c>
      <c r="E2" s="7" t="s">
        <v>23</v>
      </c>
      <c r="F2" s="7">
        <v>1</v>
      </c>
      <c r="G2" s="8" t="s">
        <v>1181</v>
      </c>
      <c r="H2" s="9">
        <v>40998</v>
      </c>
      <c r="I2" s="9" t="s">
        <v>1182</v>
      </c>
    </row>
    <row r="3" spans="1:9" ht="17" thickTop="1" thickBot="1" x14ac:dyDescent="0.45">
      <c r="A3" s="7">
        <v>225698</v>
      </c>
      <c r="B3" s="14" t="s">
        <v>1175</v>
      </c>
      <c r="C3" s="7">
        <v>2160</v>
      </c>
      <c r="D3" s="7" t="s">
        <v>1176</v>
      </c>
      <c r="E3" s="7" t="s">
        <v>10</v>
      </c>
      <c r="F3" s="7">
        <v>3</v>
      </c>
      <c r="G3" s="8" t="s">
        <v>1183</v>
      </c>
      <c r="H3" s="9" t="s">
        <v>1184</v>
      </c>
      <c r="I3" s="9" t="s">
        <v>1185</v>
      </c>
    </row>
    <row r="4" spans="1:9" ht="17" thickTop="1" thickBot="1" x14ac:dyDescent="0.45">
      <c r="A4" s="7">
        <v>225710</v>
      </c>
      <c r="B4" s="14" t="s">
        <v>1175</v>
      </c>
      <c r="C4" s="7">
        <v>2292</v>
      </c>
      <c r="D4" s="7" t="s">
        <v>32</v>
      </c>
      <c r="E4" s="7" t="s">
        <v>23</v>
      </c>
      <c r="F4" s="7">
        <v>2</v>
      </c>
      <c r="G4" s="8" t="s">
        <v>1186</v>
      </c>
      <c r="H4" s="9" t="s">
        <v>1187</v>
      </c>
      <c r="I4" s="9" t="s">
        <v>1188</v>
      </c>
    </row>
    <row r="5" spans="1:9" ht="17" thickTop="1" thickBot="1" x14ac:dyDescent="0.45">
      <c r="A5" s="7">
        <v>225714</v>
      </c>
      <c r="B5" s="14" t="s">
        <v>1175</v>
      </c>
      <c r="C5" s="7">
        <v>2315</v>
      </c>
      <c r="D5" s="7" t="s">
        <v>792</v>
      </c>
      <c r="E5" s="7" t="s">
        <v>23</v>
      </c>
      <c r="F5" s="7">
        <v>1</v>
      </c>
      <c r="G5" s="8" t="s">
        <v>1189</v>
      </c>
      <c r="H5" s="9">
        <v>40991</v>
      </c>
      <c r="I5" s="9" t="s">
        <v>1190</v>
      </c>
    </row>
    <row r="6" spans="1:9" ht="17" thickTop="1" thickBot="1" x14ac:dyDescent="0.45">
      <c r="A6" s="7">
        <v>225721</v>
      </c>
      <c r="B6" s="14" t="s">
        <v>1175</v>
      </c>
      <c r="C6" s="7">
        <v>2387</v>
      </c>
      <c r="D6" s="7" t="s">
        <v>308</v>
      </c>
      <c r="E6" s="7" t="s">
        <v>23</v>
      </c>
      <c r="F6" s="7">
        <v>1</v>
      </c>
      <c r="G6" s="8" t="s">
        <v>1191</v>
      </c>
      <c r="H6" s="9">
        <v>40997</v>
      </c>
      <c r="I6" s="9" t="s">
        <v>1192</v>
      </c>
    </row>
    <row r="7" spans="1:9" ht="17" thickTop="1" thickBot="1" x14ac:dyDescent="0.45">
      <c r="A7" s="7">
        <v>225723</v>
      </c>
      <c r="B7" s="14" t="s">
        <v>1175</v>
      </c>
      <c r="C7" s="7">
        <v>2410</v>
      </c>
      <c r="D7" s="7" t="s">
        <v>1177</v>
      </c>
      <c r="E7" s="7" t="s">
        <v>10</v>
      </c>
      <c r="F7" s="7">
        <v>2</v>
      </c>
      <c r="G7" s="8" t="s">
        <v>1194</v>
      </c>
      <c r="H7" s="9" t="s">
        <v>1195</v>
      </c>
      <c r="I7" s="9" t="s">
        <v>1196</v>
      </c>
    </row>
    <row r="8" spans="1:9" ht="17" thickTop="1" thickBot="1" x14ac:dyDescent="0.45">
      <c r="A8" s="7">
        <v>225728</v>
      </c>
      <c r="B8" s="14" t="s">
        <v>1175</v>
      </c>
      <c r="C8" s="7">
        <v>2457</v>
      </c>
      <c r="D8" s="7" t="s">
        <v>311</v>
      </c>
      <c r="E8" s="7" t="s">
        <v>10</v>
      </c>
      <c r="F8" s="7">
        <v>2</v>
      </c>
      <c r="G8" s="8" t="s">
        <v>1197</v>
      </c>
      <c r="H8" s="9" t="s">
        <v>1198</v>
      </c>
      <c r="I8" s="9" t="s">
        <v>1199</v>
      </c>
    </row>
    <row r="9" spans="1:9" ht="17" thickTop="1" thickBot="1" x14ac:dyDescent="0.45">
      <c r="A9" s="7">
        <v>225729</v>
      </c>
      <c r="B9" s="14" t="s">
        <v>1175</v>
      </c>
      <c r="C9" s="7">
        <v>2459</v>
      </c>
      <c r="D9" s="7" t="s">
        <v>1178</v>
      </c>
      <c r="E9" s="7" t="s">
        <v>10</v>
      </c>
      <c r="F9" s="7">
        <v>1</v>
      </c>
      <c r="G9" s="8" t="s">
        <v>1200</v>
      </c>
      <c r="H9" s="9">
        <v>226163</v>
      </c>
      <c r="I9" s="9" t="s">
        <v>1201</v>
      </c>
    </row>
    <row r="10" spans="1:9" ht="17" thickTop="1" thickBot="1" x14ac:dyDescent="0.45">
      <c r="A10" s="7">
        <v>225738</v>
      </c>
      <c r="B10" s="14" t="s">
        <v>1175</v>
      </c>
      <c r="C10" s="7">
        <v>4007</v>
      </c>
      <c r="D10" s="7" t="s">
        <v>507</v>
      </c>
      <c r="E10" s="7" t="s">
        <v>23</v>
      </c>
      <c r="F10" s="7">
        <v>2</v>
      </c>
      <c r="G10" s="8" t="s">
        <v>1202</v>
      </c>
      <c r="H10" s="9" t="s">
        <v>1203</v>
      </c>
      <c r="I10" s="9" t="s">
        <v>1193</v>
      </c>
    </row>
    <row r="11" spans="1:9" ht="17" thickTop="1" thickBot="1" x14ac:dyDescent="0.45">
      <c r="A11" s="7">
        <v>225746</v>
      </c>
      <c r="B11" s="14" t="s">
        <v>1175</v>
      </c>
      <c r="C11" s="7">
        <v>4046</v>
      </c>
      <c r="D11" s="7" t="s">
        <v>1179</v>
      </c>
      <c r="E11" s="7" t="s">
        <v>23</v>
      </c>
      <c r="F11" s="7">
        <v>2</v>
      </c>
      <c r="G11" s="8" t="s">
        <v>1204</v>
      </c>
      <c r="H11" s="9" t="s">
        <v>1205</v>
      </c>
      <c r="I11" s="9" t="s">
        <v>1206</v>
      </c>
    </row>
    <row r="12" spans="1:9" ht="17" thickTop="1" thickBot="1" x14ac:dyDescent="0.45">
      <c r="A12" s="7">
        <v>225766</v>
      </c>
      <c r="B12" s="14" t="s">
        <v>1175</v>
      </c>
      <c r="C12" s="7">
        <v>4230</v>
      </c>
      <c r="D12" s="7" t="s">
        <v>56</v>
      </c>
      <c r="E12" s="7" t="s">
        <v>23</v>
      </c>
      <c r="F12" s="7">
        <v>2</v>
      </c>
      <c r="G12" s="8" t="s">
        <v>1207</v>
      </c>
      <c r="H12" s="9" t="s">
        <v>1208</v>
      </c>
      <c r="I12" s="9" t="s">
        <v>1209</v>
      </c>
    </row>
    <row r="13" spans="1:9" ht="17" thickTop="1" thickBot="1" x14ac:dyDescent="0.45">
      <c r="A13" s="7">
        <v>225777</v>
      </c>
      <c r="B13" s="14" t="s">
        <v>1175</v>
      </c>
      <c r="C13" s="7">
        <v>4343</v>
      </c>
      <c r="D13" s="7" t="s">
        <v>1180</v>
      </c>
      <c r="E13" s="7" t="s">
        <v>10</v>
      </c>
      <c r="F13" s="7">
        <v>3</v>
      </c>
      <c r="G13" s="8" t="s">
        <v>1210</v>
      </c>
      <c r="H13" s="9" t="s">
        <v>1211</v>
      </c>
      <c r="I13" s="9" t="s">
        <v>1212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B2:F23"/>
  <sheetViews>
    <sheetView showGridLines="0" zoomScaleNormal="100" workbookViewId="0">
      <selection activeCell="I18" sqref="I18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20" t="s">
        <v>636</v>
      </c>
      <c r="C3" s="20"/>
      <c r="D3" s="20"/>
      <c r="E3" s="20"/>
      <c r="F3" s="20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0</v>
      </c>
      <c r="E7" s="3">
        <v>499200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496800</v>
      </c>
      <c r="E9" s="1">
        <v>2400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15200</v>
      </c>
      <c r="E13" s="1">
        <v>44800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1" t="s">
        <v>650</v>
      </c>
      <c r="D16" s="21"/>
      <c r="E16" s="5" t="s">
        <v>651</v>
      </c>
    </row>
    <row r="17" spans="3:5" ht="41.5" customHeight="1" thickTop="1" thickBot="1" x14ac:dyDescent="0.4">
      <c r="C17" s="19" t="s">
        <v>652</v>
      </c>
      <c r="D17" s="19"/>
      <c r="E17" s="1">
        <f>SUM(D7:D12)</f>
        <v>1994400</v>
      </c>
    </row>
    <row r="18" spans="3:5" ht="39.65" customHeight="1" thickTop="1" thickBot="1" x14ac:dyDescent="0.4">
      <c r="C18" s="19" t="s">
        <v>653</v>
      </c>
      <c r="D18" s="19"/>
      <c r="E18" s="1">
        <f>SUM(D13:D13)</f>
        <v>15200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1" t="s">
        <v>654</v>
      </c>
      <c r="D21" s="21"/>
      <c r="E21" s="5" t="s">
        <v>651</v>
      </c>
    </row>
    <row r="22" spans="3:5" ht="41.5" customHeight="1" thickTop="1" thickBot="1" x14ac:dyDescent="0.4">
      <c r="C22" s="19" t="s">
        <v>732</v>
      </c>
      <c r="D22" s="19"/>
      <c r="E22" s="1">
        <f>E17</f>
        <v>1994400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C3:G12"/>
  <sheetViews>
    <sheetView showGridLines="0" topLeftCell="A5" zoomScaleNormal="100" workbookViewId="0">
      <selection activeCell="E20" sqref="E20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2" t="s">
        <v>655</v>
      </c>
      <c r="D4" s="23"/>
      <c r="E4" s="23"/>
      <c r="F4" s="23"/>
      <c r="G4" s="24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1978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3389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1693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2026-07-21T12:30:42Z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