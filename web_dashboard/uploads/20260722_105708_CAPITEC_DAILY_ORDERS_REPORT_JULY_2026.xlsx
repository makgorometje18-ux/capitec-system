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X:\Capitec\"/>
    </mc:Choice>
  </mc:AlternateContent>
  <bookViews>
    <workbookView xWindow="-28920" yWindow="-120" windowWidth="29040" windowHeight="15720" firstSheet="14" activeTab="14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CAPITEC SUMMARY FILE REPORT " sheetId="2" r:id="rId16"/>
    <sheet name="DSV CONSUMABLES " sheetId="15" r:id="rId17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<sst xmlns="http://schemas.openxmlformats.org/spreadsheetml/2006/main" count="1973" uniqueCount="1240">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</sst>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/>
    <cellStyle name="Normal 3" xfId="3"/>
    <cellStyle name="Note 2" xfId="2"/>
    <cellStyle name="Note 2 2" xfId="4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6.5" thickTop="1" thickBot="1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6.5" thickTop="1" thickBot="1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6.5" thickTop="1" thickBot="1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6.5" thickTop="1" thickBot="1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6.5" thickTop="1" thickBot="1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6.5" thickTop="1" thickBot="1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6.5" thickTop="1" thickBot="1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6.5" thickTop="1" thickBot="1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6.5" thickTop="1" thickBot="1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6.5" thickTop="1" thickBot="1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6.5" thickTop="1" thickBot="1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6.5" thickTop="1" thickBot="1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6.5" thickTop="1" thickBot="1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6.5" thickTop="1" thickBot="1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6.5" thickTop="1" thickBot="1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6.5" thickTop="1" thickBot="1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6.5" thickTop="1" thickBot="1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6.5" thickTop="1" thickBot="1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6.5" thickTop="1" thickBot="1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6.5" thickTop="1" thickBot="1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6.5" thickTop="1" thickBot="1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6.5" thickTop="1" thickBot="1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6.5" thickTop="1" thickBot="1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6.5" thickTop="1" thickBot="1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6.5" thickTop="1" thickBot="1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6.5" thickTop="1" thickBot="1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6.5" thickTop="1" thickBot="1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6.5" thickTop="1" thickBot="1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6.5" thickTop="1" thickBot="1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6.5" thickTop="1" thickBot="1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6.5" thickTop="1" thickBot="1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6.5" thickTop="1" thickBot="1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6.5" thickTop="1" thickBot="1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6.5" thickTop="1" thickBot="1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6.5" thickTop="1" thickBot="1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6.5" thickTop="1" thickBot="1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6.5" thickTop="1" thickBot="1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6.5" thickTop="1" thickBot="1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6.5" thickTop="1" thickBot="1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6.5" thickTop="1" thickBot="1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6.5" thickTop="1" thickBot="1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6.5" thickTop="1" thickBot="1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6.5" thickTop="1" thickBot="1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6.5" thickTop="1" thickBot="1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6.5" thickTop="1" thickBot="1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6.5" thickTop="1" thickBot="1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6.5" thickTop="1" thickBot="1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6.5" thickTop="1" thickBot="1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6.5" thickTop="1" thickBot="1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6.5" thickTop="1" thickBot="1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6.5" thickTop="1" thickBot="1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6.5" thickTop="1" thickBot="1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6.5" thickTop="1" thickBot="1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6.5" thickTop="1" thickBot="1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6.5" thickTop="1" thickBot="1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6.5" thickTop="1" thickBot="1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6.5" thickTop="1" thickBot="1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6.5" thickTop="1" thickBot="1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6.5" thickTop="1" thickBot="1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6.5" thickTop="1" thickBot="1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6.5" thickTop="1" thickBot="1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6.5" thickTop="1" thickBot="1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6.5" thickTop="1" thickBot="1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6.5" thickTop="1" thickBot="1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6.5" thickTop="1" thickBot="1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6.5" thickTop="1" thickBot="1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6.5" thickTop="1" thickBot="1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6.5" thickTop="1" thickBot="1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6.5" thickTop="1" thickBot="1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6.5" thickTop="1" thickBot="1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6.5" thickTop="1" thickBot="1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6.5" thickTop="1" thickBot="1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6.5" thickTop="1" thickBot="1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6.5" thickTop="1" thickBot="1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6.5" thickTop="1" thickBot="1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6.5" thickTop="1" thickBot="1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6.5" thickTop="1" thickBot="1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6.5" thickTop="1" thickBot="1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6.5" thickTop="1" thickBot="1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6.5" thickTop="1" thickBot="1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6.5" thickTop="1" thickBot="1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6.5" thickTop="1" thickBot="1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6.5" thickTop="1" thickBot="1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/>
  </sheetData>
  <autoFilter ref="A1:I85"/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6.5" thickTop="1" thickBot="1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6.5" thickTop="1" thickBot="1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6.5" thickTop="1" thickBot="1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6.5" thickTop="1" thickBot="1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6.5" thickTop="1" thickBot="1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6.5" thickTop="1" thickBot="1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6.5" thickTop="1" thickBot="1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6.5" thickTop="1" thickBot="1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6.5" thickTop="1" thickBot="1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6.5" thickTop="1" thickBot="1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6.5" thickTop="1" thickBot="1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6.5" thickTop="1" thickBot="1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6.5" thickTop="1" thickBot="1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6.5" thickTop="1" thickBot="1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6.5" thickTop="1" thickBot="1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6.5" thickTop="1" thickBot="1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6.5" thickTop="1" thickBot="1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6.5" thickTop="1" thickBot="1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6.5" thickTop="1" thickBot="1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6.5" thickTop="1" thickBot="1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6.5" thickTop="1" thickBot="1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6.5" thickTop="1" thickBot="1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6.5" thickTop="1" thickBot="1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6.5" thickTop="1" thickBot="1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6.5" thickTop="1" thickBot="1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6.5" thickTop="1" thickBot="1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6.5" thickTop="1" thickBot="1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6.5" thickTop="1" thickBot="1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6.5" thickTop="1" thickBot="1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6.5" thickTop="1" thickBot="1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6.5" thickTop="1" thickBot="1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6.5" thickTop="1" thickBot="1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6.5" thickTop="1" thickBot="1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6.5" thickTop="1" thickBot="1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6.5" thickTop="1" thickBot="1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6.5" thickTop="1" thickBot="1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6.5" thickTop="1" thickBot="1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6.5" thickTop="1" thickBot="1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6.5" thickTop="1" thickBot="1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6.5" thickTop="1" thickBot="1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6.5" thickTop="1" thickBot="1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6.5" thickTop="1" thickBot="1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6.5" thickTop="1" thickBot="1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6.5" thickTop="1" thickBot="1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6.5" thickTop="1" thickBot="1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6.5" thickTop="1" thickBot="1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6.5" thickTop="1" thickBot="1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6.5" thickTop="1" thickBot="1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6.5" thickTop="1" thickBot="1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6.5" thickTop="1" thickBot="1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6.5" thickTop="1" thickBot="1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6.5" thickTop="1" thickBot="1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6.5" thickTop="1" thickBot="1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6.5" thickTop="1" thickBot="1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6.5" thickTop="1" thickBot="1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6.5" thickTop="1" thickBot="1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6.5" thickTop="1" thickBot="1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6.5" thickTop="1" thickBot="1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6.5" thickTop="1" thickBot="1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6.5" thickTop="1" thickBot="1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6.5" thickTop="1" thickBot="1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6.5" thickTop="1" thickBot="1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6.5" thickTop="1" thickBot="1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6.5" thickTop="1" thickBot="1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6.5" thickTop="1" thickBot="1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6.5" thickTop="1" thickBot="1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6.5" thickTop="1" thickBot="1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6.5" thickTop="1" thickBot="1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6.5" thickTop="1" thickBot="1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6.5" thickTop="1" thickBot="1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6.5" thickTop="1" thickBot="1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6.5" thickTop="1" thickBot="1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6.5" thickTop="1" thickBot="1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6.5" thickTop="1" thickBot="1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6.5" thickTop="1" thickBot="1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6.5" thickTop="1" thickBot="1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6.5" thickTop="1" thickBot="1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6.5" thickTop="1" thickBot="1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6.5" thickTop="1" thickBot="1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6.5" thickTop="1" thickBot="1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6.5" thickTop="1" thickBot="1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6.5" thickTop="1" thickBot="1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6.5" thickTop="1" thickBot="1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6.5" thickTop="1" thickBot="1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6.5" thickTop="1" thickBot="1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6.5" thickTop="1" thickBot="1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6.5" thickTop="1" thickBot="1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6.5" thickTop="1" thickBot="1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6.5" thickTop="1" thickBot="1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6.5" thickTop="1" thickBot="1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6.5" thickTop="1" thickBot="1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6.5" thickTop="1" thickBot="1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6.5" thickTop="1" thickBot="1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6.5" thickTop="1" thickBot="1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6.5" thickTop="1" thickBot="1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6.5" thickTop="1" thickBot="1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6.5" thickTop="1" thickBot="1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6.5" thickTop="1" thickBot="1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6.5" thickTop="1" thickBot="1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6.5" thickTop="1" thickBot="1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6.5" thickTop="1" thickBot="1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6.5" thickTop="1" thickBot="1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6.5" thickTop="1" thickBot="1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6.5" thickTop="1" thickBot="1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6.5" thickTop="1" thickBot="1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6.5" thickTop="1" thickBot="1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6.5" thickTop="1" thickBot="1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6.5" thickTop="1" thickBot="1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6.5" thickTop="1" thickBot="1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6.5" thickTop="1" thickBot="1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6.5" thickTop="1" thickBot="1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6.5" thickTop="1" thickBot="1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6.5" thickTop="1" thickBot="1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6.5" thickTop="1" thickBot="1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6.5" thickTop="1" thickBot="1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6.5" thickTop="1" thickBot="1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6.5" thickTop="1" thickBot="1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6.5" thickTop="1" thickBot="1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6.5" thickTop="1" thickBot="1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6.5" thickTop="1" thickBot="1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6.5" thickTop="1" thickBot="1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6.5" thickTop="1" thickBot="1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6.5" thickTop="1" thickBot="1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6.5" thickTop="1" thickBot="1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6.5" thickTop="1" thickBot="1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6.5" thickTop="1" thickBot="1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6.5" thickTop="1" thickBot="1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6.5" thickTop="1" thickBot="1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6.5" thickTop="1" thickBot="1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6.5" thickTop="1" thickBot="1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6.5" thickTop="1" thickBot="1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6.5" thickTop="1" thickBot="1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6.5" thickTop="1" thickBot="1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6.5" thickTop="1" thickBot="1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6" customWidth="1"/>
    <col min="9" max="9" width="16.125" customWidth="1"/>
    <col min="12" max="12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6.5" thickTop="1" thickBot="1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6.5" thickTop="1" thickBot="1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6.5" thickTop="1" thickBot="1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6.5" thickTop="1" thickBot="1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6.5" thickTop="1" thickBot="1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6.5" thickTop="1" thickBot="1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6.5" thickTop="1" thickBot="1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6.5" thickTop="1" thickBot="1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6.5" thickTop="1" thickBot="1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6.5" thickTop="1" thickBot="1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6.5" thickTop="1" thickBot="1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6.5" thickTop="1" thickBot="1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6.5" thickTop="1" thickBot="1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6.5" thickTop="1" thickBot="1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6.5" thickTop="1" thickBot="1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6.5" thickTop="1" thickBot="1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6.5" thickTop="1" thickBot="1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6.5" thickTop="1" thickBot="1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6.5" thickTop="1" thickBot="1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6.5" thickTop="1" thickBot="1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6.5" thickTop="1" thickBot="1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6.5" thickTop="1" thickBot="1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6.5" thickTop="1" thickBot="1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6.5" thickTop="1" thickBot="1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6.5" thickTop="1" thickBot="1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6.5" thickTop="1" thickBot="1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6.5" thickTop="1" thickBot="1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6.5" thickTop="1" thickBot="1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6.5" thickTop="1" thickBot="1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6.5" thickTop="1" thickBot="1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6.5" thickTop="1" thickBot="1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6.5" thickTop="1" thickBot="1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6.5" thickTop="1" thickBot="1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6.5" thickTop="1" thickBot="1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6.5" thickTop="1" thickBot="1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6.5" thickTop="1" thickBot="1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6.5" thickTop="1" thickBot="1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6.5" thickTop="1" thickBot="1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6.5" thickTop="1" thickBot="1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6.5" thickTop="1" thickBot="1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6.5" thickTop="1" thickBot="1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6.5" thickTop="1" thickBot="1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6.5" thickTop="1" thickBot="1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6.5" thickTop="1" thickBot="1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6.5" thickTop="1" thickBot="1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6.5" thickTop="1" thickBot="1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6.5" thickTop="1" thickBot="1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6.5" thickTop="1" thickBot="1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6.5" thickTop="1" thickBot="1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6.5" thickTop="1" thickBot="1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6.5" thickTop="1" thickBot="1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6.5" thickTop="1" thickBot="1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6.5" thickTop="1" thickBot="1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6.5" thickTop="1" thickBot="1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6.5" thickTop="1" thickBot="1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6.5" thickTop="1" thickBot="1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6.5" thickTop="1" thickBot="1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6.5" thickTop="1" thickBot="1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6.5" thickTop="1" thickBot="1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6.5" thickTop="1" thickBot="1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6.5" thickTop="1" thickBot="1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6.5" thickTop="1" thickBot="1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6.5" thickTop="1" thickBot="1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6.5" thickTop="1" thickBot="1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6.5" thickTop="1" thickBot="1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6.5" thickTop="1" thickBot="1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6.5" thickTop="1" thickBot="1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6.5" thickTop="1" thickBot="1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6.5" thickTop="1" thickBot="1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6.5" thickTop="1" thickBot="1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6.5" thickTop="1" thickBot="1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6.5" thickTop="1" thickBot="1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6.5" thickTop="1" thickBot="1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6.5" thickTop="1" thickBot="1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6.5" thickTop="1" thickBot="1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6.5" thickTop="1" thickBot="1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6.5" thickTop="1" thickBot="1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6.5" thickTop="1" thickBot="1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6.5" thickTop="1" thickBot="1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6.5" thickTop="1" thickBot="1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6.5" thickTop="1" thickBot="1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6.5" thickTop="1" thickBot="1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6.5" thickTop="1" thickBot="1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6.5" thickTop="1" thickBot="1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6.5" thickTop="1" thickBot="1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6.5" thickTop="1" thickBot="1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6.5" thickTop="1" thickBot="1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6.5" thickTop="1" thickBot="1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6.5" thickTop="1" thickBot="1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6.5" thickTop="1" thickBot="1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6.5" thickTop="1" thickBot="1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6.5" thickTop="1" thickBot="1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6.5" thickTop="1" thickBot="1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6.5" thickTop="1" thickBot="1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6.5" thickTop="1" thickBot="1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6.5" thickTop="1" thickBot="1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6.5" thickTop="1" thickBot="1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6.5" thickTop="1" thickBot="1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6.5" thickTop="1" thickBot="1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6.5" thickTop="1" thickBot="1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6.5" thickTop="1" thickBot="1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6.5" thickTop="1" thickBot="1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6.5" thickTop="1" thickBot="1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6.5" thickTop="1" thickBot="1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6.5" thickTop="1" thickBot="1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6.5" thickTop="1" thickBot="1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6.5" thickTop="1" thickBot="1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6.5" thickTop="1" thickBot="1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6.5" thickTop="1" thickBot="1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6.5" thickTop="1" thickBot="1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6.5" thickTop="1" thickBot="1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6.5" thickTop="1" thickBot="1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6.5" thickTop="1" thickBot="1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6.5" thickTop="1" thickBot="1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6.5" thickTop="1" thickBot="1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6.5" thickTop="1" thickBot="1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6.5" thickTop="1" thickBot="1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6.5" thickTop="1" thickBot="1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6.5" thickTop="1" thickBot="1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6.5" thickTop="1" thickBot="1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6.5" thickTop="1" thickBot="1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6.5" thickTop="1" thickBot="1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6.5" thickTop="1" thickBot="1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6.5" thickTop="1" thickBot="1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6.5" thickTop="1" thickBot="1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6.5" thickTop="1" thickBot="1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6.5" thickTop="1" thickBot="1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6.5" thickTop="1" thickBot="1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6.5" thickTop="1" thickBot="1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6.5" thickTop="1" thickBot="1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6.5" thickTop="1" thickBot="1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6.5" thickTop="1" thickBot="1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6.5" thickTop="1" thickBot="1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6.5" thickTop="1" thickBot="1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6.5" thickTop="1" thickBot="1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6.5" thickTop="1" thickBot="1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6.5" thickTop="1" thickBot="1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6.5" thickTop="1" thickBot="1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6.5" thickTop="1" thickBot="1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6.5" thickTop="1" thickBot="1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6.5" thickTop="1" thickBot="1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6.5" thickTop="1" thickBot="1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6.5" thickTop="1" thickBot="1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6.5" thickTop="1" thickBot="1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6.5" thickTop="1" thickBot="1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6.5" thickTop="1" thickBot="1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6.5" thickTop="1" thickBot="1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6.5" thickTop="1" thickBot="1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6.5" thickTop="1" thickBot="1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17" t="s">
        <v>1173</v>
      </c>
      <c r="H13" s="18">
        <v>40987</v>
      </c>
      <c r="I13" s="18" t="s">
        <v>1174</v>
      </c>
    </row>
    <row r="1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6.5" thickTop="1" thickBot="1">
      <c r="A2" s="7">
        <v>225691</v>
      </c>
      <c r="B2" s="14" t="s">
        <v>1175</v>
      </c>
      <c r="C2" s="7">
        <v>2085</v>
      </c>
      <c r="D2" s="7" t="s">
        <v>19</v>
      </c>
      <c r="E2" s="7" t="s">
        <v>23</v>
      </c>
      <c r="F2" s="7">
        <v>1</v>
      </c>
      <c r="G2" s="8" t="s">
        <v>1181</v>
      </c>
      <c r="H2" s="9">
        <v>40998</v>
      </c>
      <c r="I2" s="9" t="s">
        <v>1182</v>
      </c>
    </row>
    <row r="3" spans="1:9" ht="16.5" thickTop="1" thickBot="1">
      <c r="A3" s="7">
        <v>225698</v>
      </c>
      <c r="B3" s="14" t="s">
        <v>1175</v>
      </c>
      <c r="C3" s="7">
        <v>2160</v>
      </c>
      <c r="D3" s="7" t="s">
        <v>1176</v>
      </c>
      <c r="E3" s="7" t="s">
        <v>10</v>
      </c>
      <c r="F3" s="7">
        <v>3</v>
      </c>
      <c r="G3" s="8" t="s">
        <v>1183</v>
      </c>
      <c r="H3" s="9" t="s">
        <v>1184</v>
      </c>
      <c r="I3" s="9" t="s">
        <v>1185</v>
      </c>
    </row>
    <row r="4" spans="1:9" ht="16.5" thickTop="1" thickBot="1">
      <c r="A4" s="7">
        <v>225710</v>
      </c>
      <c r="B4" s="14" t="s">
        <v>1175</v>
      </c>
      <c r="C4" s="7">
        <v>2292</v>
      </c>
      <c r="D4" s="7" t="s">
        <v>32</v>
      </c>
      <c r="E4" s="7" t="s">
        <v>23</v>
      </c>
      <c r="F4" s="7">
        <v>2</v>
      </c>
      <c r="G4" s="8" t="s">
        <v>1186</v>
      </c>
      <c r="H4" s="9" t="s">
        <v>1187</v>
      </c>
      <c r="I4" s="9" t="s">
        <v>1188</v>
      </c>
    </row>
    <row r="5" spans="1:9" ht="16.5" thickTop="1" thickBot="1">
      <c r="A5" s="7">
        <v>225714</v>
      </c>
      <c r="B5" s="14" t="s">
        <v>1175</v>
      </c>
      <c r="C5" s="7">
        <v>2315</v>
      </c>
      <c r="D5" s="7" t="s">
        <v>792</v>
      </c>
      <c r="E5" s="7" t="s">
        <v>23</v>
      </c>
      <c r="F5" s="7">
        <v>1</v>
      </c>
      <c r="G5" s="8" t="s">
        <v>1189</v>
      </c>
      <c r="H5" s="9">
        <v>40991</v>
      </c>
      <c r="I5" s="9" t="s">
        <v>1190</v>
      </c>
    </row>
    <row r="6" spans="1:9" ht="16.5" thickTop="1" thickBot="1">
      <c r="A6" s="7">
        <v>225721</v>
      </c>
      <c r="B6" s="14" t="s">
        <v>1175</v>
      </c>
      <c r="C6" s="7">
        <v>2387</v>
      </c>
      <c r="D6" s="7" t="s">
        <v>308</v>
      </c>
      <c r="E6" s="7" t="s">
        <v>23</v>
      </c>
      <c r="F6" s="7">
        <v>1</v>
      </c>
      <c r="G6" s="8" t="s">
        <v>1191</v>
      </c>
      <c r="H6" s="9">
        <v>40997</v>
      </c>
      <c r="I6" s="9" t="s">
        <v>1192</v>
      </c>
    </row>
    <row r="7" spans="1:9" ht="16.5" thickTop="1" thickBot="1">
      <c r="A7" s="7">
        <v>225723</v>
      </c>
      <c r="B7" s="14" t="s">
        <v>1175</v>
      </c>
      <c r="C7" s="7">
        <v>2410</v>
      </c>
      <c r="D7" s="7" t="s">
        <v>1177</v>
      </c>
      <c r="E7" s="7" t="s">
        <v>10</v>
      </c>
      <c r="F7" s="7">
        <v>2</v>
      </c>
      <c r="G7" s="8" t="s">
        <v>1194</v>
      </c>
      <c r="H7" s="9" t="s">
        <v>1195</v>
      </c>
      <c r="I7" s="9" t="s">
        <v>1196</v>
      </c>
    </row>
    <row r="8" spans="1:9" ht="16.5" thickTop="1" thickBot="1">
      <c r="A8" s="7">
        <v>225728</v>
      </c>
      <c r="B8" s="14" t="s">
        <v>1175</v>
      </c>
      <c r="C8" s="7">
        <v>2457</v>
      </c>
      <c r="D8" s="7" t="s">
        <v>311</v>
      </c>
      <c r="E8" s="7" t="s">
        <v>10</v>
      </c>
      <c r="F8" s="7">
        <v>2</v>
      </c>
      <c r="G8" s="8" t="s">
        <v>1197</v>
      </c>
      <c r="H8" s="9" t="s">
        <v>1198</v>
      </c>
      <c r="I8" s="9" t="s">
        <v>1199</v>
      </c>
    </row>
    <row r="9" spans="1:9" ht="16.5" thickTop="1" thickBot="1">
      <c r="A9" s="7">
        <v>225729</v>
      </c>
      <c r="B9" s="14" t="s">
        <v>1175</v>
      </c>
      <c r="C9" s="7">
        <v>2459</v>
      </c>
      <c r="D9" s="7" t="s">
        <v>1178</v>
      </c>
      <c r="E9" s="7" t="s">
        <v>10</v>
      </c>
      <c r="F9" s="7">
        <v>1</v>
      </c>
      <c r="G9" s="8" t="s">
        <v>1200</v>
      </c>
      <c r="H9" s="9">
        <v>226163</v>
      </c>
      <c r="I9" s="9" t="s">
        <v>1201</v>
      </c>
    </row>
    <row r="10" spans="1:9" ht="16.5" thickTop="1" thickBot="1">
      <c r="A10" s="7">
        <v>225738</v>
      </c>
      <c r="B10" s="14" t="s">
        <v>1175</v>
      </c>
      <c r="C10" s="7">
        <v>4007</v>
      </c>
      <c r="D10" s="7" t="s">
        <v>507</v>
      </c>
      <c r="E10" s="7" t="s">
        <v>23</v>
      </c>
      <c r="F10" s="7">
        <v>2</v>
      </c>
      <c r="G10" s="8" t="s">
        <v>1202</v>
      </c>
      <c r="H10" s="9" t="s">
        <v>1203</v>
      </c>
      <c r="I10" s="9" t="s">
        <v>1193</v>
      </c>
    </row>
    <row r="11" spans="1:9" ht="16.5" thickTop="1" thickBot="1">
      <c r="A11" s="7">
        <v>225746</v>
      </c>
      <c r="B11" s="14" t="s">
        <v>1175</v>
      </c>
      <c r="C11" s="7">
        <v>4046</v>
      </c>
      <c r="D11" s="7" t="s">
        <v>1179</v>
      </c>
      <c r="E11" s="7" t="s">
        <v>23</v>
      </c>
      <c r="F11" s="7">
        <v>2</v>
      </c>
      <c r="G11" s="8" t="s">
        <v>1204</v>
      </c>
      <c r="H11" s="9" t="s">
        <v>1205</v>
      </c>
      <c r="I11" s="9" t="s">
        <v>1206</v>
      </c>
    </row>
    <row r="12" spans="1:9" ht="16.5" thickTop="1" thickBot="1">
      <c r="A12" s="7">
        <v>225766</v>
      </c>
      <c r="B12" s="14" t="s">
        <v>1175</v>
      </c>
      <c r="C12" s="7">
        <v>4230</v>
      </c>
      <c r="D12" s="7" t="s">
        <v>56</v>
      </c>
      <c r="E12" s="7" t="s">
        <v>23</v>
      </c>
      <c r="F12" s="7">
        <v>2</v>
      </c>
      <c r="G12" s="8" t="s">
        <v>1207</v>
      </c>
      <c r="H12" s="9" t="s">
        <v>1208</v>
      </c>
      <c r="I12" s="9" t="s">
        <v>1209</v>
      </c>
    </row>
    <row r="13" spans="1:9" ht="16.5" thickTop="1" thickBot="1">
      <c r="A13" s="7">
        <v>225777</v>
      </c>
      <c r="B13" s="14" t="s">
        <v>1175</v>
      </c>
      <c r="C13" s="7">
        <v>4343</v>
      </c>
      <c r="D13" s="7" t="s">
        <v>1180</v>
      </c>
      <c r="E13" s="7" t="s">
        <v>10</v>
      </c>
      <c r="F13" s="7">
        <v>3</v>
      </c>
      <c r="G13" s="8" t="s">
        <v>1210</v>
      </c>
      <c r="H13" s="9" t="s">
        <v>1211</v>
      </c>
      <c r="I13" s="9" t="s">
        <v>1212</v>
      </c>
    </row>
    <row r="1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10"/>
  <sheetViews>
    <sheetView showGridLines="0" tabSelected="1" topLeftCell="B1" workbookViewId="0">
      <pane ySplit="1" topLeftCell="A2" activePane="bottomLeft" state="frozen"/>
      <selection pane="bottomLeft" activeCell="H24" sqref="H2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6" customWidth="1"/>
    <col min="9" max="9" width="16.125" customWidth="1"/>
    <col min="11" max="11" width="8.25" customWidth="1"/>
  </cols>
  <sheetData>
    <row r="1" spans="1:9" ht="16.5" thickTop="1" thickBot="1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6.5" thickTop="1" thickBot="1">
      <c r="A2" s="7">
        <v>225804</v>
      </c>
      <c r="B2" s="14">
        <v>46225</v>
      </c>
      <c r="C2" s="7">
        <v>2109</v>
      </c>
      <c r="D2" s="7" t="s">
        <v>1213</v>
      </c>
      <c r="E2" s="7" t="s">
        <v>23</v>
      </c>
      <c r="F2" s="7">
        <v>2</v>
      </c>
      <c r="G2" s="8" t="s">
        <v>1217</v>
      </c>
      <c r="H2" s="9" t="s">
        <v>1218</v>
      </c>
      <c r="I2" s="9" t="s">
        <v>1219</v>
      </c>
    </row>
    <row r="3" spans="1:9" ht="16.5" thickTop="1" thickBot="1">
      <c r="A3" s="7">
        <v>225840</v>
      </c>
      <c r="B3" s="14">
        <v>46225</v>
      </c>
      <c r="C3" s="7">
        <v>2338</v>
      </c>
      <c r="D3" s="7" t="s">
        <v>35</v>
      </c>
      <c r="E3" s="7" t="s">
        <v>23</v>
      </c>
      <c r="F3" s="7">
        <v>2</v>
      </c>
      <c r="G3" s="8" t="s">
        <v>1220</v>
      </c>
      <c r="H3" s="9" t="s">
        <v>1223</v>
      </c>
      <c r="I3" s="9" t="s">
        <v>1224</v>
      </c>
    </row>
    <row r="4" spans="1:9" ht="16.5" thickTop="1" thickBot="1">
      <c r="A4" s="7">
        <v>225841</v>
      </c>
      <c r="B4" s="14">
        <v>46225</v>
      </c>
      <c r="C4" s="7">
        <v>2370</v>
      </c>
      <c r="D4" s="7" t="s">
        <v>305</v>
      </c>
      <c r="E4" s="7" t="s">
        <v>23</v>
      </c>
      <c r="F4" s="7">
        <v>2</v>
      </c>
      <c r="G4" s="8" t="s">
        <v>1221</v>
      </c>
      <c r="H4" s="9" t="s">
        <v>1225</v>
      </c>
      <c r="I4" s="9" t="s">
        <v>1226</v>
      </c>
    </row>
    <row r="5" spans="1:9" ht="16.5" thickTop="1" thickBot="1">
      <c r="A5" s="7">
        <v>225852</v>
      </c>
      <c r="B5" s="14">
        <v>46225</v>
      </c>
      <c r="C5" s="7">
        <v>2484</v>
      </c>
      <c r="D5" s="7" t="s">
        <v>621</v>
      </c>
      <c r="E5" s="7" t="s">
        <v>23</v>
      </c>
      <c r="F5" s="7">
        <v>1</v>
      </c>
      <c r="G5" s="8" t="s">
        <v>1222</v>
      </c>
      <c r="H5" s="9">
        <v>41005</v>
      </c>
      <c r="I5" s="9" t="s">
        <v>1227</v>
      </c>
    </row>
    <row r="6" spans="1:9" ht="16.5" thickTop="1" thickBot="1">
      <c r="A6" s="7">
        <v>225876</v>
      </c>
      <c r="B6" s="14">
        <v>46225</v>
      </c>
      <c r="C6" s="7">
        <v>4266</v>
      </c>
      <c r="D6" s="7" t="s">
        <v>1214</v>
      </c>
      <c r="E6" s="7" t="s">
        <v>10</v>
      </c>
      <c r="F6" s="7">
        <v>3</v>
      </c>
      <c r="G6" s="8" t="s">
        <v>1228</v>
      </c>
      <c r="H6" s="9" t="s">
        <v>1229</v>
      </c>
      <c r="I6" s="9" t="s">
        <v>1230</v>
      </c>
    </row>
    <row r="7" spans="1:9" ht="16.5" thickTop="1" thickBot="1">
      <c r="A7" s="7">
        <v>225880</v>
      </c>
      <c r="B7" s="14">
        <v>46225</v>
      </c>
      <c r="C7" s="7">
        <v>4303</v>
      </c>
      <c r="D7" s="7" t="s">
        <v>1215</v>
      </c>
      <c r="E7" s="7" t="s">
        <v>10</v>
      </c>
      <c r="F7" s="7">
        <v>4</v>
      </c>
      <c r="G7" s="8" t="s">
        <v>1231</v>
      </c>
      <c r="H7" s="9" t="s">
        <v>1232</v>
      </c>
      <c r="I7" s="9" t="s">
        <v>1233</v>
      </c>
    </row>
    <row r="8" spans="1:9" ht="16.5" thickTop="1" thickBot="1">
      <c r="A8" s="7">
        <v>225894</v>
      </c>
      <c r="B8" s="14">
        <v>46225</v>
      </c>
      <c r="C8" s="7">
        <v>4429</v>
      </c>
      <c r="D8" s="7" t="s">
        <v>512</v>
      </c>
      <c r="E8" s="7" t="s">
        <v>23</v>
      </c>
      <c r="F8" s="7">
        <v>3</v>
      </c>
      <c r="G8" s="8" t="s">
        <v>1234</v>
      </c>
      <c r="H8" s="9" t="s">
        <v>1235</v>
      </c>
      <c r="I8" s="9" t="s">
        <v>1236</v>
      </c>
    </row>
    <row r="9" spans="1:9" ht="16.5" thickTop="1" thickBot="1">
      <c r="A9" s="7">
        <v>225896</v>
      </c>
      <c r="B9" s="14">
        <v>46225</v>
      </c>
      <c r="C9" s="7">
        <v>4463</v>
      </c>
      <c r="D9" s="7" t="s">
        <v>1216</v>
      </c>
      <c r="E9" s="7" t="s">
        <v>23</v>
      </c>
      <c r="F9" s="7">
        <v>4</v>
      </c>
      <c r="G9" s="8" t="s">
        <v>1237</v>
      </c>
      <c r="H9" s="9" t="s">
        <v>1238</v>
      </c>
      <c r="I9" s="9" t="s">
        <v>1239</v>
      </c>
    </row>
    <row r="10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F23"/>
  <sheetViews>
    <sheetView showGridLines="0" zoomScaleNormal="100" workbookViewId="0">
      <selection activeCell="I18" sqref="I18"/>
    </sheetView>
  </sheetViews>
  <sheetFormatPr defaultRowHeight="14.25"/>
  <cols>
    <col min="2" max="2" width="46.875" customWidth="1"/>
    <col min="3" max="3" width="26.25" customWidth="1"/>
    <col min="4" max="4" width="26" customWidth="1"/>
    <col min="5" max="5" width="23.25" customWidth="1"/>
    <col min="6" max="6" width="57.125" customWidth="1"/>
  </cols>
  <sheetData>
    <row r="2" spans="2:6" ht="15" thickBot="1"/>
    <row r="3" spans="2:6" ht="46.5" thickTop="1" thickBot="1">
      <c r="B3" s="20" t="s">
        <v>636</v>
      </c>
      <c r="C3" s="20"/>
      <c r="D3" s="20"/>
      <c r="E3" s="20"/>
      <c r="F3" s="20"/>
    </row>
    <row r="4" spans="2:6" ht="15" thickTop="1"/>
    <row r="5" spans="2:6" ht="15" thickBot="1"/>
    <row r="6" spans="2:6" ht="42" thickTop="1" thickBot="1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45" customHeight="1" thickTop="1" thickBot="1">
      <c r="B7" s="4" t="s">
        <v>642</v>
      </c>
      <c r="C7" s="1">
        <v>499200</v>
      </c>
      <c r="D7" s="1">
        <f t="shared" ref="D7:D13" si="0">SUM(C7-E7)</f>
        <v>0</v>
      </c>
      <c r="E7" s="3">
        <v>499200</v>
      </c>
      <c r="F7" s="2" t="s">
        <v>643</v>
      </c>
    </row>
    <row r="8" spans="2:6" ht="35.450000000000003" customHeight="1" thickTop="1" thickBot="1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1.95" customHeight="1" thickTop="1" thickBot="1">
      <c r="B9" s="4" t="s">
        <v>645</v>
      </c>
      <c r="C9" s="1">
        <v>499200</v>
      </c>
      <c r="D9" s="1">
        <f t="shared" si="0"/>
        <v>496800</v>
      </c>
      <c r="E9" s="1">
        <v>2400</v>
      </c>
      <c r="F9" s="2" t="s">
        <v>643</v>
      </c>
    </row>
    <row r="10" spans="2:6" ht="21.95" customHeight="1" thickTop="1" thickBot="1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1.95" customHeight="1" thickTop="1" thickBot="1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450000000000003" customHeight="1" thickTop="1" thickBot="1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1.95" customHeight="1" thickTop="1" thickBot="1">
      <c r="B13" s="4" t="s">
        <v>733</v>
      </c>
      <c r="C13" s="1">
        <v>60000</v>
      </c>
      <c r="D13" s="1">
        <f t="shared" si="0"/>
        <v>15200</v>
      </c>
      <c r="E13" s="1">
        <v>44800</v>
      </c>
      <c r="F13" s="2" t="s">
        <v>643</v>
      </c>
    </row>
    <row r="14" spans="2:6" ht="15" thickTop="1"/>
    <row r="15" spans="2:6" ht="15" thickBot="1"/>
    <row r="16" spans="2:6" ht="21.75" thickTop="1" thickBot="1">
      <c r="C16" s="21" t="s">
        <v>650</v>
      </c>
      <c r="D16" s="21"/>
      <c r="E16" s="5" t="s">
        <v>651</v>
      </c>
    </row>
    <row r="17" spans="3:5" ht="41.45" customHeight="1" thickTop="1" thickBot="1">
      <c r="C17" s="19" t="s">
        <v>652</v>
      </c>
      <c r="D17" s="19"/>
      <c r="E17" s="1">
        <f>SUM(D7:D12)</f>
        <v>1994400</v>
      </c>
    </row>
    <row r="18" spans="3:5" ht="39.6" customHeight="1" thickTop="1" thickBot="1">
      <c r="C18" s="19" t="s">
        <v>653</v>
      </c>
      <c r="D18" s="19"/>
      <c r="E18" s="1">
        <f>SUM(D13:D13)</f>
        <v>15200</v>
      </c>
    </row>
    <row r="19" spans="3:5" ht="15" thickTop="1"/>
    <row r="20" spans="3:5" ht="15" thickBot="1"/>
    <row r="21" spans="3:5" ht="45.95" customHeight="1" thickTop="1" thickBot="1">
      <c r="C21" s="21" t="s">
        <v>654</v>
      </c>
      <c r="D21" s="21"/>
      <c r="E21" s="5" t="s">
        <v>651</v>
      </c>
    </row>
    <row r="22" spans="3:5" ht="41.45" customHeight="1" thickTop="1" thickBot="1">
      <c r="C22" s="19" t="s">
        <v>732</v>
      </c>
      <c r="D22" s="19"/>
      <c r="E22" s="1">
        <f>E17</f>
        <v>1994400</v>
      </c>
    </row>
    <row r="23" spans="3:5" ht="15" thickTop="1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C3:G12"/>
  <sheetViews>
    <sheetView showGridLines="0" topLeftCell="A5" zoomScaleNormal="100" workbookViewId="0">
      <selection activeCell="D12" sqref="D12"/>
    </sheetView>
  </sheetViews>
  <sheetFormatPr defaultRowHeight="14.25"/>
  <cols>
    <col min="2" max="2" width="73.875" customWidth="1"/>
    <col min="3" max="3" width="32.25" customWidth="1"/>
    <col min="4" max="6" width="18.875" customWidth="1"/>
    <col min="7" max="7" width="21.875" customWidth="1"/>
    <col min="8" max="8" width="38.25" customWidth="1"/>
  </cols>
  <sheetData>
    <row r="3" spans="3:7" ht="15" thickBot="1"/>
    <row r="4" spans="3:7" ht="41.1" customHeight="1" thickTop="1" thickBot="1">
      <c r="C4" s="22" t="s">
        <v>655</v>
      </c>
      <c r="D4" s="23"/>
      <c r="E4" s="23"/>
      <c r="F4" s="23"/>
      <c r="G4" s="24"/>
    </row>
    <row r="5" spans="3:7" ht="41.1" customHeight="1" thickTop="1" thickBot="1"/>
    <row r="6" spans="3:7" ht="48.6" customHeight="1" thickTop="1" thickBot="1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7.25" thickTop="1" thickBot="1">
      <c r="C7" s="2" t="s">
        <v>661</v>
      </c>
      <c r="D7" s="1">
        <v>1977</v>
      </c>
      <c r="E7" s="1"/>
      <c r="F7" s="1"/>
      <c r="G7" s="2" t="s">
        <v>662</v>
      </c>
    </row>
    <row r="8" spans="3:7" ht="17.25" thickTop="1" thickBot="1">
      <c r="C8" s="2" t="s">
        <v>663</v>
      </c>
      <c r="D8" s="1">
        <v>3382</v>
      </c>
      <c r="E8" s="1"/>
      <c r="F8" s="1"/>
      <c r="G8" s="2" t="s">
        <v>662</v>
      </c>
    </row>
    <row r="9" spans="3:7" ht="17.25" thickTop="1" thickBot="1">
      <c r="C9" s="2" t="s">
        <v>664</v>
      </c>
      <c r="D9" s="1" t="s">
        <v>665</v>
      </c>
      <c r="E9" s="1"/>
      <c r="F9" s="1"/>
      <c r="G9" s="2" t="s">
        <v>662</v>
      </c>
    </row>
    <row r="10" spans="3:7" ht="17.25" thickTop="1" thickBot="1">
      <c r="C10" s="2" t="s">
        <v>666</v>
      </c>
      <c r="D10" s="1">
        <v>1687</v>
      </c>
      <c r="E10" s="1"/>
      <c r="F10" s="1"/>
      <c r="G10" s="2" t="s">
        <v>662</v>
      </c>
    </row>
    <row r="11" spans="3:7" ht="15.7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Sisipo LIWANI</cp:lastModifiedBy>
  <cp:revision/>
  <dcterms:created xsi:type="dcterms:W3CDTF">2025-08-18T13:28:19Z</dcterms:created>
  <dcterms:modified xsi:type="dcterms:W3CDTF">2026-07-22T08:08:27Z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