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CAPITEC/"/>
    </mc:Choice>
  </mc:AlternateContent>
  <xr:revisionPtr revIDLastSave="1" documentId="11_5E7A3064E5B231A0321FD092BA33096E50D975B0" xr6:coauthVersionLast="47" xr6:coauthVersionMax="47" xr10:uidLastSave="{E00425F5-FAFE-4C8D-B657-651BC7E455B3}"/>
  <bookViews>
    <workbookView xWindow="-28920" yWindow="-120" windowWidth="29040" windowHeight="15720" firstSheet="14" activeTab="15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CAPITEC SUMMARY FILE REPORT " sheetId="2" r:id="rId17"/>
    <sheet name="DSV CONSUMABLES " sheetId="15" r:id="rId18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<sst xmlns="http://schemas.openxmlformats.org/spreadsheetml/2006/main" count="2000" uniqueCount="1254">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</sst>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4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7" thickTop="1" thickBot="1" x14ac:dyDescent="0.45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7" thickTop="1" thickBot="1" x14ac:dyDescent="0.45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7" thickTop="1" thickBot="1" x14ac:dyDescent="0.45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7" thickTop="1" thickBot="1" x14ac:dyDescent="0.45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7" thickTop="1" thickBot="1" x14ac:dyDescent="0.45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7" thickTop="1" thickBot="1" x14ac:dyDescent="0.45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7" thickTop="1" thickBot="1" x14ac:dyDescent="0.45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7" thickTop="1" thickBot="1" x14ac:dyDescent="0.45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7" thickTop="1" thickBot="1" x14ac:dyDescent="0.45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7" thickTop="1" thickBot="1" x14ac:dyDescent="0.45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7" thickTop="1" thickBot="1" x14ac:dyDescent="0.45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7" thickTop="1" thickBot="1" x14ac:dyDescent="0.45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7" thickTop="1" thickBot="1" x14ac:dyDescent="0.45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7" thickTop="1" thickBot="1" x14ac:dyDescent="0.45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7" thickTop="1" thickBot="1" x14ac:dyDescent="0.45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7" thickTop="1" thickBot="1" x14ac:dyDescent="0.45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7" thickTop="1" thickBot="1" x14ac:dyDescent="0.45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7" thickTop="1" thickBot="1" x14ac:dyDescent="0.45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7" thickTop="1" thickBot="1" x14ac:dyDescent="0.45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7" thickTop="1" thickBot="1" x14ac:dyDescent="0.45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7" thickTop="1" thickBot="1" x14ac:dyDescent="0.45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7" thickTop="1" thickBot="1" x14ac:dyDescent="0.45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7" thickTop="1" thickBot="1" x14ac:dyDescent="0.45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7" thickTop="1" thickBot="1" x14ac:dyDescent="0.45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7" thickTop="1" thickBot="1" x14ac:dyDescent="0.45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7" thickTop="1" thickBot="1" x14ac:dyDescent="0.45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7" thickTop="1" thickBot="1" x14ac:dyDescent="0.45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7" thickTop="1" thickBot="1" x14ac:dyDescent="0.45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7" thickTop="1" thickBot="1" x14ac:dyDescent="0.45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7" thickTop="1" thickBot="1" x14ac:dyDescent="0.45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7" thickTop="1" thickBot="1" x14ac:dyDescent="0.45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7" thickTop="1" thickBot="1" x14ac:dyDescent="0.45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7" thickTop="1" thickBot="1" x14ac:dyDescent="0.45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7" thickTop="1" thickBot="1" x14ac:dyDescent="0.45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7" thickTop="1" thickBot="1" x14ac:dyDescent="0.45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7" thickTop="1" thickBot="1" x14ac:dyDescent="0.45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7" thickTop="1" thickBot="1" x14ac:dyDescent="0.45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7" thickTop="1" thickBot="1" x14ac:dyDescent="0.45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7" thickTop="1" thickBot="1" x14ac:dyDescent="0.45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7" thickTop="1" thickBot="1" x14ac:dyDescent="0.45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7" thickTop="1" thickBot="1" x14ac:dyDescent="0.45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7" thickTop="1" thickBot="1" x14ac:dyDescent="0.45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7" thickTop="1" thickBot="1" x14ac:dyDescent="0.45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7" thickTop="1" thickBot="1" x14ac:dyDescent="0.45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7" thickTop="1" thickBot="1" x14ac:dyDescent="0.45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7" thickTop="1" thickBot="1" x14ac:dyDescent="0.45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7" thickTop="1" thickBot="1" x14ac:dyDescent="0.45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7" thickTop="1" thickBot="1" x14ac:dyDescent="0.45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7" thickTop="1" thickBot="1" x14ac:dyDescent="0.45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7" thickTop="1" thickBot="1" x14ac:dyDescent="0.45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7" thickTop="1" thickBot="1" x14ac:dyDescent="0.45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7" thickTop="1" thickBot="1" x14ac:dyDescent="0.45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7" thickTop="1" thickBot="1" x14ac:dyDescent="0.45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7" thickTop="1" thickBot="1" x14ac:dyDescent="0.45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7" thickTop="1" thickBot="1" x14ac:dyDescent="0.45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7" thickTop="1" thickBot="1" x14ac:dyDescent="0.45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7" thickTop="1" thickBot="1" x14ac:dyDescent="0.45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7" thickTop="1" thickBot="1" x14ac:dyDescent="0.45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7" thickTop="1" thickBot="1" x14ac:dyDescent="0.45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7" thickTop="1" thickBot="1" x14ac:dyDescent="0.45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7" thickTop="1" thickBot="1" x14ac:dyDescent="0.45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7" thickTop="1" thickBot="1" x14ac:dyDescent="0.45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7" thickTop="1" thickBot="1" x14ac:dyDescent="0.45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7" thickTop="1" thickBot="1" x14ac:dyDescent="0.45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7" thickTop="1" thickBot="1" x14ac:dyDescent="0.45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7" thickTop="1" thickBot="1" x14ac:dyDescent="0.45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7" thickTop="1" thickBot="1" x14ac:dyDescent="0.45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7" thickTop="1" thickBot="1" x14ac:dyDescent="0.45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7" thickTop="1" thickBot="1" x14ac:dyDescent="0.45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7" thickTop="1" thickBot="1" x14ac:dyDescent="0.45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7" thickTop="1" thickBot="1" x14ac:dyDescent="0.45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7" thickTop="1" thickBot="1" x14ac:dyDescent="0.45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7" thickTop="1" thickBot="1" x14ac:dyDescent="0.45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7" thickTop="1" thickBot="1" x14ac:dyDescent="0.45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7" thickTop="1" thickBot="1" x14ac:dyDescent="0.45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7" thickTop="1" thickBot="1" x14ac:dyDescent="0.45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7" thickTop="1" thickBot="1" x14ac:dyDescent="0.45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7" thickTop="1" thickBot="1" x14ac:dyDescent="0.45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7" thickTop="1" thickBot="1" x14ac:dyDescent="0.45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7" thickTop="1" thickBot="1" x14ac:dyDescent="0.45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7" thickTop="1" thickBot="1" x14ac:dyDescent="0.45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7" thickTop="1" thickBot="1" x14ac:dyDescent="0.45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7" thickTop="1" thickBot="1" x14ac:dyDescent="0.45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7" thickTop="1" thickBot="1" x14ac:dyDescent="0.45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7" thickTop="1" thickBot="1" x14ac:dyDescent="0.45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7" thickTop="1" thickBot="1" x14ac:dyDescent="0.45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7" thickTop="1" thickBot="1" x14ac:dyDescent="0.45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7" thickTop="1" thickBot="1" x14ac:dyDescent="0.45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7" thickTop="1" thickBot="1" x14ac:dyDescent="0.45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7" thickTop="1" thickBot="1" x14ac:dyDescent="0.45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7" thickTop="1" thickBot="1" x14ac:dyDescent="0.45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7" thickTop="1" thickBot="1" x14ac:dyDescent="0.45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7" thickTop="1" thickBot="1" x14ac:dyDescent="0.45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7" thickTop="1" thickBot="1" x14ac:dyDescent="0.45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7" thickTop="1" thickBot="1" x14ac:dyDescent="0.45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7" thickTop="1" thickBot="1" x14ac:dyDescent="0.45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7" thickTop="1" thickBot="1" x14ac:dyDescent="0.45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7" thickTop="1" thickBot="1" x14ac:dyDescent="0.45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7" thickTop="1" thickBot="1" x14ac:dyDescent="0.45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7" thickTop="1" thickBot="1" x14ac:dyDescent="0.45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7" thickTop="1" thickBot="1" x14ac:dyDescent="0.45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7" thickTop="1" thickBot="1" x14ac:dyDescent="0.45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7" thickTop="1" thickBot="1" x14ac:dyDescent="0.45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7" thickTop="1" thickBot="1" x14ac:dyDescent="0.45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7" thickTop="1" thickBot="1" x14ac:dyDescent="0.45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7" thickTop="1" thickBot="1" x14ac:dyDescent="0.45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7" thickTop="1" thickBot="1" x14ac:dyDescent="0.45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7" thickTop="1" thickBot="1" x14ac:dyDescent="0.45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7" thickTop="1" thickBot="1" x14ac:dyDescent="0.45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7" thickTop="1" thickBot="1" x14ac:dyDescent="0.45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7" thickTop="1" thickBot="1" x14ac:dyDescent="0.45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7" thickTop="1" thickBot="1" x14ac:dyDescent="0.45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7" thickTop="1" thickBot="1" x14ac:dyDescent="0.45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7" thickTop="1" thickBot="1" x14ac:dyDescent="0.45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7" thickTop="1" thickBot="1" x14ac:dyDescent="0.45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7" thickTop="1" thickBot="1" x14ac:dyDescent="0.45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7" thickTop="1" thickBot="1" x14ac:dyDescent="0.45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7" thickTop="1" thickBot="1" x14ac:dyDescent="0.45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7" thickTop="1" thickBot="1" x14ac:dyDescent="0.45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7" thickTop="1" thickBot="1" x14ac:dyDescent="0.45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7" thickTop="1" thickBot="1" x14ac:dyDescent="0.45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7" thickTop="1" thickBot="1" x14ac:dyDescent="0.45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7" thickTop="1" thickBot="1" x14ac:dyDescent="0.45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7" thickTop="1" thickBot="1" x14ac:dyDescent="0.45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7" thickTop="1" thickBot="1" x14ac:dyDescent="0.45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7" thickTop="1" thickBot="1" x14ac:dyDescent="0.45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7" thickTop="1" thickBot="1" x14ac:dyDescent="0.45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7" thickTop="1" thickBot="1" x14ac:dyDescent="0.45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7" thickTop="1" thickBot="1" x14ac:dyDescent="0.45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7" thickTop="1" thickBot="1" x14ac:dyDescent="0.45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7" thickTop="1" thickBot="1" x14ac:dyDescent="0.45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7" thickTop="1" thickBot="1" x14ac:dyDescent="0.45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7" thickTop="1" thickBot="1" x14ac:dyDescent="0.45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7" thickTop="1" thickBot="1" x14ac:dyDescent="0.45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7" thickTop="1" thickBot="1" x14ac:dyDescent="0.45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7" thickTop="1" thickBot="1" x14ac:dyDescent="0.45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7" thickTop="1" thickBot="1" x14ac:dyDescent="0.45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7" thickTop="1" thickBot="1" x14ac:dyDescent="0.45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7" thickTop="1" thickBot="1" x14ac:dyDescent="0.45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7" thickTop="1" thickBot="1" x14ac:dyDescent="0.45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7" thickTop="1" thickBot="1" x14ac:dyDescent="0.45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7" thickTop="1" thickBot="1" x14ac:dyDescent="0.45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7" thickTop="1" thickBot="1" x14ac:dyDescent="0.45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7" thickTop="1" thickBot="1" x14ac:dyDescent="0.45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7" thickTop="1" thickBot="1" x14ac:dyDescent="0.45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7" thickTop="1" thickBot="1" x14ac:dyDescent="0.45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7" thickTop="1" thickBot="1" x14ac:dyDescent="0.45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7" thickTop="1" thickBot="1" x14ac:dyDescent="0.45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7" thickTop="1" thickBot="1" x14ac:dyDescent="0.45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7" thickTop="1" thickBot="1" x14ac:dyDescent="0.45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7" thickTop="1" thickBot="1" x14ac:dyDescent="0.45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7" thickTop="1" thickBot="1" x14ac:dyDescent="0.45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7" thickTop="1" thickBot="1" x14ac:dyDescent="0.45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7" thickTop="1" thickBot="1" x14ac:dyDescent="0.45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7" thickTop="1" thickBot="1" x14ac:dyDescent="0.45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7" thickTop="1" thickBot="1" x14ac:dyDescent="0.45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7" thickTop="1" thickBot="1" x14ac:dyDescent="0.45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7" thickTop="1" thickBot="1" x14ac:dyDescent="0.45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7" thickTop="1" thickBot="1" x14ac:dyDescent="0.45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7" thickTop="1" thickBot="1" x14ac:dyDescent="0.45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7" thickTop="1" thickBot="1" x14ac:dyDescent="0.45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7" thickTop="1" thickBot="1" x14ac:dyDescent="0.45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7" thickTop="1" thickBot="1" x14ac:dyDescent="0.45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7" thickTop="1" thickBot="1" x14ac:dyDescent="0.45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7" thickTop="1" thickBot="1" x14ac:dyDescent="0.45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7" thickTop="1" thickBot="1" x14ac:dyDescent="0.45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7" thickTop="1" thickBot="1" x14ac:dyDescent="0.45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7" thickTop="1" thickBot="1" x14ac:dyDescent="0.45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7" thickTop="1" thickBot="1" x14ac:dyDescent="0.45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7" thickTop="1" thickBot="1" x14ac:dyDescent="0.45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7" thickTop="1" thickBot="1" x14ac:dyDescent="0.45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7" thickTop="1" thickBot="1" x14ac:dyDescent="0.45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7" thickTop="1" thickBot="1" x14ac:dyDescent="0.45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7" thickTop="1" thickBot="1" x14ac:dyDescent="0.45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7" thickTop="1" thickBot="1" x14ac:dyDescent="0.45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7" thickTop="1" thickBot="1" x14ac:dyDescent="0.45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7" thickTop="1" thickBot="1" x14ac:dyDescent="0.45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7" thickTop="1" thickBot="1" x14ac:dyDescent="0.45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7" thickTop="1" thickBot="1" x14ac:dyDescent="0.45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7" thickTop="1" thickBot="1" x14ac:dyDescent="0.45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7" thickTop="1" thickBot="1" x14ac:dyDescent="0.45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7" thickTop="1" thickBot="1" x14ac:dyDescent="0.45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7" thickTop="1" thickBot="1" x14ac:dyDescent="0.45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7" thickTop="1" thickBot="1" x14ac:dyDescent="0.45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7" thickTop="1" thickBot="1" x14ac:dyDescent="0.45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7" thickTop="1" thickBot="1" x14ac:dyDescent="0.45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7" thickTop="1" thickBot="1" x14ac:dyDescent="0.45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7" thickTop="1" thickBot="1" x14ac:dyDescent="0.45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7" thickTop="1" thickBot="1" x14ac:dyDescent="0.45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7" thickTop="1" thickBot="1" x14ac:dyDescent="0.45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7" thickTop="1" thickBot="1" x14ac:dyDescent="0.45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7" thickTop="1" thickBot="1" x14ac:dyDescent="0.45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7" thickTop="1" thickBot="1" x14ac:dyDescent="0.45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7" thickTop="1" thickBot="1" x14ac:dyDescent="0.45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7" thickTop="1" thickBot="1" x14ac:dyDescent="0.45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7" thickTop="1" thickBot="1" x14ac:dyDescent="0.45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7" thickTop="1" thickBot="1" x14ac:dyDescent="0.45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7" thickTop="1" thickBot="1" x14ac:dyDescent="0.45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7" thickTop="1" thickBot="1" x14ac:dyDescent="0.45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7" thickTop="1" thickBot="1" x14ac:dyDescent="0.45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7" thickTop="1" thickBot="1" x14ac:dyDescent="0.45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7" thickTop="1" thickBot="1" x14ac:dyDescent="0.45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7" thickTop="1" thickBot="1" x14ac:dyDescent="0.45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7" thickTop="1" thickBot="1" x14ac:dyDescent="0.45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7" thickTop="1" thickBot="1" x14ac:dyDescent="0.45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7" thickTop="1" thickBot="1" x14ac:dyDescent="0.45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7" thickTop="1" thickBot="1" x14ac:dyDescent="0.45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7" thickTop="1" thickBot="1" x14ac:dyDescent="0.45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7" thickTop="1" thickBot="1" x14ac:dyDescent="0.45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7" thickTop="1" thickBot="1" x14ac:dyDescent="0.45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7" thickTop="1" thickBot="1" x14ac:dyDescent="0.45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7" thickTop="1" thickBot="1" x14ac:dyDescent="0.45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7" thickTop="1" thickBot="1" x14ac:dyDescent="0.45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7" thickTop="1" thickBot="1" x14ac:dyDescent="0.45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7" thickTop="1" thickBot="1" x14ac:dyDescent="0.45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7" thickTop="1" thickBot="1" x14ac:dyDescent="0.45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7" thickTop="1" thickBot="1" x14ac:dyDescent="0.45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7" thickTop="1" thickBot="1" x14ac:dyDescent="0.45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7" thickTop="1" thickBot="1" x14ac:dyDescent="0.45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7" thickTop="1" thickBot="1" x14ac:dyDescent="0.45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7" thickTop="1" thickBot="1" x14ac:dyDescent="0.45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7" thickTop="1" thickBot="1" x14ac:dyDescent="0.45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7" thickTop="1" thickBot="1" x14ac:dyDescent="0.45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7" thickTop="1" thickBot="1" x14ac:dyDescent="0.45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7" thickTop="1" thickBot="1" x14ac:dyDescent="0.45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7" thickTop="1" thickBot="1" x14ac:dyDescent="0.45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7" thickTop="1" thickBot="1" x14ac:dyDescent="0.45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7" thickTop="1" thickBot="1" x14ac:dyDescent="0.45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7" thickTop="1" thickBot="1" x14ac:dyDescent="0.45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7" thickTop="1" thickBot="1" x14ac:dyDescent="0.45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7" thickTop="1" thickBot="1" x14ac:dyDescent="0.45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7" thickTop="1" thickBot="1" x14ac:dyDescent="0.45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7" thickTop="1" thickBot="1" x14ac:dyDescent="0.45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7" thickTop="1" thickBot="1" x14ac:dyDescent="0.45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7" thickTop="1" thickBot="1" x14ac:dyDescent="0.45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7" thickTop="1" thickBot="1" x14ac:dyDescent="0.45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7" thickTop="1" thickBot="1" x14ac:dyDescent="0.45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7" thickTop="1" thickBot="1" x14ac:dyDescent="0.45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7" thickTop="1" thickBot="1" x14ac:dyDescent="0.45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7" thickTop="1" thickBot="1" x14ac:dyDescent="0.45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7" thickTop="1" thickBot="1" x14ac:dyDescent="0.45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7" thickTop="1" thickBot="1" x14ac:dyDescent="0.45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7" thickTop="1" thickBot="1" x14ac:dyDescent="0.45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7" thickTop="1" thickBot="1" x14ac:dyDescent="0.45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7" thickTop="1" thickBot="1" x14ac:dyDescent="0.45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7" thickTop="1" thickBot="1" x14ac:dyDescent="0.45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7" thickTop="1" thickBot="1" x14ac:dyDescent="0.45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7" thickTop="1" thickBot="1" x14ac:dyDescent="0.45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7" thickTop="1" thickBot="1" x14ac:dyDescent="0.45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7" thickTop="1" thickBot="1" x14ac:dyDescent="0.45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7" thickTop="1" thickBot="1" x14ac:dyDescent="0.45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7" thickTop="1" thickBot="1" x14ac:dyDescent="0.45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7" thickTop="1" thickBot="1" x14ac:dyDescent="0.45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7" thickTop="1" thickBot="1" x14ac:dyDescent="0.45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7" thickTop="1" thickBot="1" x14ac:dyDescent="0.45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7" thickTop="1" thickBot="1" x14ac:dyDescent="0.45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7" thickTop="1" thickBot="1" x14ac:dyDescent="0.45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7" thickTop="1" thickBot="1" x14ac:dyDescent="0.45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7" thickTop="1" thickBot="1" x14ac:dyDescent="0.45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7" thickTop="1" thickBot="1" x14ac:dyDescent="0.45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7" thickTop="1" thickBot="1" x14ac:dyDescent="0.45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7" thickTop="1" thickBot="1" x14ac:dyDescent="0.45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7" thickTop="1" thickBot="1" x14ac:dyDescent="0.45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7" thickTop="1" thickBot="1" x14ac:dyDescent="0.45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7" thickTop="1" thickBot="1" x14ac:dyDescent="0.45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7" thickTop="1" thickBot="1" x14ac:dyDescent="0.45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7" thickTop="1" thickBot="1" x14ac:dyDescent="0.45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7" thickTop="1" thickBot="1" x14ac:dyDescent="0.45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7" thickTop="1" thickBot="1" x14ac:dyDescent="0.45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7" thickTop="1" thickBot="1" x14ac:dyDescent="0.45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7" thickTop="1" thickBot="1" x14ac:dyDescent="0.45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7" thickTop="1" thickBot="1" x14ac:dyDescent="0.45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7" thickTop="1" thickBot="1" x14ac:dyDescent="0.45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7" thickTop="1" thickBot="1" x14ac:dyDescent="0.45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7" thickTop="1" thickBot="1" x14ac:dyDescent="0.45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7" thickTop="1" thickBot="1" x14ac:dyDescent="0.45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7" thickTop="1" thickBot="1" x14ac:dyDescent="0.45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7" thickTop="1" thickBot="1" x14ac:dyDescent="0.45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7" thickTop="1" thickBot="1" x14ac:dyDescent="0.45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7" thickTop="1" thickBot="1" x14ac:dyDescent="0.45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7" thickTop="1" thickBot="1" x14ac:dyDescent="0.45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7" thickTop="1" thickBot="1" x14ac:dyDescent="0.45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7" thickTop="1" thickBot="1" x14ac:dyDescent="0.45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7" thickTop="1" thickBot="1" x14ac:dyDescent="0.45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7" thickTop="1" thickBot="1" x14ac:dyDescent="0.45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7" thickTop="1" thickBot="1" x14ac:dyDescent="0.45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7" thickTop="1" thickBot="1" x14ac:dyDescent="0.45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7" thickTop="1" thickBot="1" x14ac:dyDescent="0.45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7" thickTop="1" thickBot="1" x14ac:dyDescent="0.45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7" thickTop="1" thickBot="1" x14ac:dyDescent="0.45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7" thickTop="1" thickBot="1" x14ac:dyDescent="0.45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7" thickTop="1" thickBot="1" x14ac:dyDescent="0.45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7" thickTop="1" thickBot="1" x14ac:dyDescent="0.45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7" thickTop="1" thickBot="1" x14ac:dyDescent="0.45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7" thickTop="1" thickBot="1" x14ac:dyDescent="0.45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7" thickTop="1" thickBot="1" x14ac:dyDescent="0.45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7" thickTop="1" thickBot="1" x14ac:dyDescent="0.45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7" thickTop="1" thickBot="1" x14ac:dyDescent="0.45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7" thickTop="1" thickBot="1" x14ac:dyDescent="0.45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7" thickTop="1" thickBot="1" x14ac:dyDescent="0.45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7" thickTop="1" thickBot="1" x14ac:dyDescent="0.45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7" thickTop="1" thickBot="1" x14ac:dyDescent="0.45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7" thickTop="1" thickBot="1" x14ac:dyDescent="0.45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7" thickTop="1" thickBot="1" x14ac:dyDescent="0.45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7" thickTop="1" thickBot="1" x14ac:dyDescent="0.45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7" thickTop="1" thickBot="1" x14ac:dyDescent="0.45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7" thickTop="1" thickBot="1" x14ac:dyDescent="0.45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7" thickTop="1" thickBot="1" x14ac:dyDescent="0.45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7" thickTop="1" thickBot="1" x14ac:dyDescent="0.45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7" thickTop="1" thickBot="1" x14ac:dyDescent="0.45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7" thickTop="1" thickBot="1" x14ac:dyDescent="0.45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7" thickTop="1" thickBot="1" x14ac:dyDescent="0.45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7" thickTop="1" thickBot="1" x14ac:dyDescent="0.45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7" thickTop="1" thickBot="1" x14ac:dyDescent="0.45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7" thickTop="1" thickBot="1" x14ac:dyDescent="0.45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7" thickTop="1" thickBot="1" x14ac:dyDescent="0.45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7" thickTop="1" thickBot="1" x14ac:dyDescent="0.45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7" thickTop="1" thickBot="1" x14ac:dyDescent="0.45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7" thickTop="1" thickBot="1" x14ac:dyDescent="0.45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7" thickTop="1" thickBot="1" x14ac:dyDescent="0.45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7" thickTop="1" thickBot="1" x14ac:dyDescent="0.45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7" thickTop="1" thickBot="1" x14ac:dyDescent="0.45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7" thickTop="1" thickBot="1" x14ac:dyDescent="0.45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7" thickTop="1" thickBot="1" x14ac:dyDescent="0.45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7" thickTop="1" thickBot="1" x14ac:dyDescent="0.45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7" thickTop="1" thickBot="1" x14ac:dyDescent="0.45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7" thickTop="1" thickBot="1" x14ac:dyDescent="0.45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7" thickTop="1" thickBot="1" x14ac:dyDescent="0.45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7" thickTop="1" thickBot="1" x14ac:dyDescent="0.45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7" thickTop="1" thickBot="1" x14ac:dyDescent="0.45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7" thickTop="1" thickBot="1" x14ac:dyDescent="0.45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7" thickTop="1" thickBot="1" x14ac:dyDescent="0.45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7" thickTop="1" thickBot="1" x14ac:dyDescent="0.45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7" thickTop="1" thickBot="1" x14ac:dyDescent="0.45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7" thickTop="1" thickBot="1" x14ac:dyDescent="0.45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7" thickTop="1" thickBot="1" x14ac:dyDescent="0.45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7" thickTop="1" thickBot="1" x14ac:dyDescent="0.45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7" thickTop="1" thickBot="1" x14ac:dyDescent="0.45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7" thickTop="1" thickBot="1" x14ac:dyDescent="0.45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7" thickTop="1" thickBot="1" x14ac:dyDescent="0.45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7" thickTop="1" thickBot="1" x14ac:dyDescent="0.45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7" thickTop="1" thickBot="1" x14ac:dyDescent="0.45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7" thickTop="1" thickBot="1" x14ac:dyDescent="0.45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7" thickTop="1" thickBot="1" x14ac:dyDescent="0.45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7" thickTop="1" thickBot="1" x14ac:dyDescent="0.45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7" thickTop="1" thickBot="1" x14ac:dyDescent="0.45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7" thickTop="1" thickBot="1" x14ac:dyDescent="0.45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7" thickTop="1" thickBot="1" x14ac:dyDescent="0.45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7" thickTop="1" thickBot="1" x14ac:dyDescent="0.45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7" thickTop="1" thickBot="1" x14ac:dyDescent="0.45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7" thickTop="1" thickBot="1" x14ac:dyDescent="0.45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7" thickTop="1" thickBot="1" x14ac:dyDescent="0.45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7" thickTop="1" thickBot="1" x14ac:dyDescent="0.45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7" thickTop="1" thickBot="1" x14ac:dyDescent="0.45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7" thickTop="1" thickBot="1" x14ac:dyDescent="0.45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7" thickTop="1" thickBot="1" x14ac:dyDescent="0.45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7" thickTop="1" thickBot="1" x14ac:dyDescent="0.45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7" thickTop="1" thickBot="1" x14ac:dyDescent="0.45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7" thickTop="1" thickBot="1" x14ac:dyDescent="0.45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7" thickTop="1" thickBot="1" x14ac:dyDescent="0.45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7" thickTop="1" thickBot="1" x14ac:dyDescent="0.45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7" thickTop="1" thickBot="1" x14ac:dyDescent="0.45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7" thickTop="1" thickBot="1" x14ac:dyDescent="0.45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7" thickTop="1" thickBot="1" x14ac:dyDescent="0.45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7" thickTop="1" thickBot="1" x14ac:dyDescent="0.45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7" thickTop="1" thickBot="1" x14ac:dyDescent="0.45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7" thickTop="1" thickBot="1" x14ac:dyDescent="0.45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7" thickTop="1" thickBot="1" x14ac:dyDescent="0.45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7" thickTop="1" thickBot="1" x14ac:dyDescent="0.45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7" thickTop="1" thickBot="1" x14ac:dyDescent="0.45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7" thickTop="1" thickBot="1" x14ac:dyDescent="0.45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7" thickTop="1" thickBot="1" x14ac:dyDescent="0.45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7" thickTop="1" thickBot="1" x14ac:dyDescent="0.45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7" thickTop="1" thickBot="1" x14ac:dyDescent="0.45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7" thickTop="1" thickBot="1" x14ac:dyDescent="0.45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7" thickTop="1" thickBot="1" x14ac:dyDescent="0.45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7" thickTop="1" thickBot="1" x14ac:dyDescent="0.45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7" thickTop="1" thickBot="1" x14ac:dyDescent="0.45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7" thickTop="1" thickBot="1" x14ac:dyDescent="0.45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7" thickTop="1" thickBot="1" x14ac:dyDescent="0.45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E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I5"/>
  <sheetViews>
    <sheetView showGridLines="0" tabSelected="1" topLeftCell="B1" workbookViewId="0">
      <pane ySplit="1" topLeftCell="A2" activePane="bottomLeft" state="frozen"/>
      <selection pane="bottomLeft" activeCell="E25" sqref="E2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7" thickTop="1" thickBot="1" x14ac:dyDescent="0.45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7" thickTop="1" thickBot="1" x14ac:dyDescent="0.45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F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B2:F23"/>
  <sheetViews>
    <sheetView showGridLines="0" zoomScaleNormal="100" workbookViewId="0">
      <selection activeCell="J1" sqref="J1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9" t="s">
        <v>636</v>
      </c>
      <c r="C3" s="19"/>
      <c r="D3" s="19"/>
      <c r="E3" s="19"/>
      <c r="F3" s="19"/>
    </row>
    <row r="4" spans="2:6" ht="15" thickTop="1" x14ac:dyDescent="0.35"/>
    <row r="5" spans="2:6" ht="15" thickBot="1" x14ac:dyDescent="0.4"/>
    <row r="6" spans="2:6" ht="41" thickTop="1" thickBot="1" x14ac:dyDescent="0.4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 x14ac:dyDescent="0.4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 x14ac:dyDescent="0.4">
      <c r="B8" s="3" t="s">
        <v>644</v>
      </c>
      <c r="C8" s="1">
        <v>499200</v>
      </c>
      <c r="D8" s="1">
        <f t="shared" si="0"/>
        <v>494100</v>
      </c>
      <c r="E8" s="1">
        <v>5100</v>
      </c>
      <c r="F8" s="2" t="s">
        <v>642</v>
      </c>
    </row>
    <row r="9" spans="2:6" ht="22" customHeight="1" thickTop="1" thickBot="1" x14ac:dyDescent="0.4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 x14ac:dyDescent="0.4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 x14ac:dyDescent="0.4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 x14ac:dyDescent="0.4">
      <c r="B12" s="3" t="s">
        <v>1240</v>
      </c>
      <c r="C12" s="1">
        <v>60000</v>
      </c>
      <c r="D12" s="1">
        <f t="shared" si="0"/>
        <v>13400</v>
      </c>
      <c r="E12" s="1">
        <v>46600</v>
      </c>
      <c r="F12" s="2" t="s">
        <v>642</v>
      </c>
    </row>
    <row r="13" spans="2:6" ht="22" customHeight="1" thickTop="1" thickBot="1" x14ac:dyDescent="0.4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0" t="s">
        <v>649</v>
      </c>
      <c r="D16" s="20"/>
      <c r="E16" s="4" t="s">
        <v>650</v>
      </c>
    </row>
    <row r="17" spans="3:5" ht="41.5" customHeight="1" thickTop="1" thickBot="1" x14ac:dyDescent="0.4">
      <c r="C17" s="18" t="s">
        <v>651</v>
      </c>
      <c r="D17" s="18"/>
      <c r="E17" s="1">
        <f>SUM(D7:D11)</f>
        <v>1991700</v>
      </c>
    </row>
    <row r="18" spans="3:5" ht="39.65" customHeight="1" thickTop="1" thickBot="1" x14ac:dyDescent="0.4">
      <c r="C18" s="18" t="s">
        <v>652</v>
      </c>
      <c r="D18" s="18"/>
      <c r="E18" s="1">
        <f>SUM(D12:D13)</f>
        <v>53400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0" t="s">
        <v>653</v>
      </c>
      <c r="D21" s="20"/>
      <c r="E21" s="4" t="s">
        <v>650</v>
      </c>
    </row>
    <row r="22" spans="3:5" ht="41.5" customHeight="1" thickTop="1" thickBot="1" x14ac:dyDescent="0.4">
      <c r="C22" s="18" t="s">
        <v>731</v>
      </c>
      <c r="D22" s="18"/>
      <c r="E22" s="1">
        <f>E17</f>
        <v>1991700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C3:G12"/>
  <sheetViews>
    <sheetView showGridLines="0" topLeftCell="A5" zoomScaleNormal="100" workbookViewId="0">
      <selection activeCell="D11" sqref="D11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1" t="s">
        <v>654</v>
      </c>
      <c r="D4" s="22"/>
      <c r="E4" s="22"/>
      <c r="F4" s="22"/>
      <c r="G4" s="23"/>
    </row>
    <row r="5" spans="3:7" ht="41.15" customHeight="1" thickTop="1" thickBot="1" x14ac:dyDescent="0.4"/>
    <row r="6" spans="3:7" ht="48.65" customHeight="1" thickTop="1" thickBot="1" x14ac:dyDescent="0.4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 x14ac:dyDescent="0.4">
      <c r="C7" s="2" t="s">
        <v>660</v>
      </c>
      <c r="D7" s="1">
        <v>1976</v>
      </c>
      <c r="E7" s="1"/>
      <c r="F7" s="1"/>
      <c r="G7" s="2" t="s">
        <v>661</v>
      </c>
    </row>
    <row r="8" spans="3:7" ht="16.5" thickTop="1" thickBot="1" x14ac:dyDescent="0.4">
      <c r="C8" s="2" t="s">
        <v>662</v>
      </c>
      <c r="D8" s="1">
        <v>3380</v>
      </c>
      <c r="E8" s="1"/>
      <c r="F8" s="1"/>
      <c r="G8" s="2" t="s">
        <v>661</v>
      </c>
    </row>
    <row r="9" spans="3:7" ht="16.5" thickTop="1" thickBot="1" x14ac:dyDescent="0.4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 x14ac:dyDescent="0.4">
      <c r="C10" s="2" t="s">
        <v>665</v>
      </c>
      <c r="D10" s="1">
        <v>1685</v>
      </c>
      <c r="E10" s="1"/>
      <c r="F10" s="1"/>
      <c r="G10" s="2" t="s">
        <v>661</v>
      </c>
    </row>
    <row r="11" spans="3:7" ht="15.5" x14ac:dyDescent="0.35">
      <c r="C11" s="2" t="s">
        <v>666</v>
      </c>
      <c r="D11" s="1">
        <v>8</v>
      </c>
      <c r="E11" s="1"/>
      <c r="F11" s="1"/>
      <c r="G11" s="2" t="s">
        <v>661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2026-07-23T10:12:23Z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