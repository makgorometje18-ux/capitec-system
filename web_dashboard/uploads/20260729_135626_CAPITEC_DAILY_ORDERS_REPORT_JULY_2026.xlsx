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Z:\Capitec\"/>
    </mc:Choice>
  </mc:AlternateContent>
  <bookViews>
    <workbookView xWindow="-28920" yWindow="-120" windowWidth="29040" windowHeight="15720" firstSheet="19" activeTab="19"/>
  </bookViews>
  <sheets>
    <sheet name="DAILY OUTPUT FILE 01-07-2026 " sheetId="42" r:id="rId1"/>
    <sheet name="DAILY OUTPUT FILE 02-07-2026" sheetId="43" r:id="rId2"/>
    <sheet name="DAILY OUTPUT FILE 03-07-2026 " sheetId="44" r:id="rId3"/>
    <sheet name="DAILY OUTPUT FILE 06-07-2026" sheetId="45" r:id="rId4"/>
    <sheet name="DAILY OUTPUT FILE 07-07-2026" sheetId="46" r:id="rId5"/>
    <sheet name="DAILY OUTPUT FILE 08-07-2026" sheetId="47" r:id="rId6"/>
    <sheet name="DAILY OUTPUT FILE 10-07-2026" sheetId="49" r:id="rId7"/>
    <sheet name="DAILY OUTPUT FILE 13-07-2026" sheetId="50" r:id="rId8"/>
    <sheet name="DAILY OUTPUT FILE 14-07-2026 " sheetId="52" r:id="rId9"/>
    <sheet name="DAILY OUTPUT FILE 15-07-2026" sheetId="53" r:id="rId10"/>
    <sheet name="DAILY OUTPUT FILE 16-07-2026 " sheetId="54" r:id="rId11"/>
    <sheet name="DAILY OUTPUT FILE 17-07-2026" sheetId="55" r:id="rId12"/>
    <sheet name="DAILY OUTPUT FILE 20-07-2026" sheetId="56" r:id="rId13"/>
    <sheet name="DAILY OUTPUT FILE 21-07-2026" sheetId="57" r:id="rId14"/>
    <sheet name="DAILY OUTPUT FILE 22-07-2026" sheetId="58" r:id="rId15"/>
    <sheet name="DAILY OUTPUT FILE 23-07-2026" sheetId="59" r:id="rId16"/>
    <sheet name="DAILY OUTPUT FILE 24-07-2026" sheetId="60" r:id="rId17"/>
    <sheet name="DAILY OUTPUT FILE 27-07-2026" sheetId="61" r:id="rId18"/>
    <sheet name="DAILY OUTPUT FILE 28-07-2026" sheetId="62" r:id="rId19"/>
    <sheet name="DAILY OUTPUT FILE 29-07-2026" sheetId="63" r:id="rId20"/>
    <sheet name="CAPITEC SUMMARY FILE REPORT " sheetId="2" r:id="rId21"/>
    <sheet name="DSV CONSUMABLES " sheetId="15" r:id="rId22"/>
  </sheets>
  <definedNames>
    <definedName name="_xlnm._FilterDatabase" localSheetId="0" hidden="1">'DAILY OUTPUT FILE 01-07-2026 '!$A$1:$I$85</definedName>
    <definedName name="_xlnm._FilterDatabase" localSheetId="1" hidden="1">'DAILY OUTPUT FILE 02-07-2026'!$A$1:$I$80</definedName>
    <definedName name="_xlnm._FilterDatabase" localSheetId="2" hidden="1">'DAILY OUTPUT FILE 03-07-2026 '!$A$1:$I$38</definedName>
    <definedName name="_xlnm._FilterDatabase" localSheetId="3" hidden="1">'DAILY OUTPUT FILE 06-07-2026'!$A$1:$I$11</definedName>
    <definedName name="_xlnm._FilterDatabase" localSheetId="4" hidden="1">'DAILY OUTPUT FILE 07-07-2026'!$A$1:$I$11</definedName>
    <definedName name="_xlnm._FilterDatabase" localSheetId="5" hidden="1">'DAILY OUTPUT FILE 08-07-2026'!$A$1:$I$4</definedName>
    <definedName name="_xlnm._FilterDatabase" localSheetId="6" hidden="1">'DAILY OUTPUT FILE 10-07-2026'!$A$1:$I$4</definedName>
    <definedName name="_xlnm._FilterDatabase" localSheetId="7" hidden="1">'DAILY OUTPUT FILE 13-07-2026'!$A$1:$I$124</definedName>
    <definedName name="_xlnm._FilterDatabase" localSheetId="8" hidden="1">'DAILY OUTPUT FILE 14-07-2026 '!$A$1:$I$4</definedName>
    <definedName name="_xlnm._FilterDatabase" localSheetId="9" hidden="1">'DAILY OUTPUT FILE 15-07-2026'!$A$1:$I$4</definedName>
    <definedName name="_xlnm._FilterDatabase" localSheetId="10" hidden="1">'DAILY OUTPUT FILE 16-07-2026 '!$A$1:$I$4</definedName>
    <definedName name="_xlnm._FilterDatabase" localSheetId="11" hidden="1">'DAILY OUTPUT FILE 17-07-2026'!$A$1:$I$3</definedName>
    <definedName name="_xlnm._FilterDatabase" localSheetId="12" hidden="1">'DAILY OUTPUT FILE 20-07-2026'!$A$1:$I$13</definedName>
    <definedName name="_xlnm._FilterDatabase" localSheetId="13" hidden="1">'DAILY OUTPUT FILE 21-07-2026'!$A$1:$I$13</definedName>
    <definedName name="_xlnm._FilterDatabase" localSheetId="14" hidden="1">'DAILY OUTPUT FILE 22-07-2026'!$A$1:$I$9</definedName>
    <definedName name="_xlnm._FilterDatabase" localSheetId="15" hidden="1">'DAILY OUTPUT FILE 23-07-2026'!$A$1:$I$4</definedName>
    <definedName name="_xlnm._FilterDatabase" localSheetId="16" hidden="1">'DAILY OUTPUT FILE 24-07-2026'!$A$1:$I$8</definedName>
    <definedName name="_xlnm._FilterDatabase" localSheetId="17" hidden="1">'DAILY OUTPUT FILE 27-07-2026'!$A$1:$I$8</definedName>
    <definedName name="_xlnm._FilterDatabase" localSheetId="18" hidden="1">'DAILY OUTPUT FILE 28-07-2026'!$A$1:$I$8</definedName>
    <definedName name="_xlnm._FilterDatabase" localSheetId="19" hidden="1">'DAILY OUTPUT FILE 29-07-2026'!$A$1:$I$8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2" l="1"/>
  <c r="D10" i="2"/>
  <c r="D11" i="2"/>
  <c r="D12" i="2"/>
  <c r="D9" i="2"/>
  <c r="D8" i="2"/>
  <c r="D7" i="2"/>
  <c r="E18" i="2" l="1"/>
  <c r="E17" i="2"/>
  <c r="E22" i="2" s="1"/>
</calcChain>
</file>

<file path=xl/sharedStrings.xml><?xml version="1.0" encoding="utf-8"?>
<sst xmlns="http://schemas.openxmlformats.org/spreadsheetml/2006/main" count="2922" uniqueCount="1765">
  <si>
    <t>Order_No</t>
  </si>
  <si>
    <t>Order_Creation_Date</t>
  </si>
  <si>
    <t>Branch_Code</t>
  </si>
  <si>
    <t>Branch_Name</t>
  </si>
  <si>
    <t>Card_Type</t>
  </si>
  <si>
    <t>No_of_Batches</t>
  </si>
  <si>
    <t>Waybill_No</t>
  </si>
  <si>
    <t>Batch_No</t>
  </si>
  <si>
    <t>Bag_No</t>
  </si>
  <si>
    <t>Bellville Voortrekker</t>
  </si>
  <si>
    <t>DMCCLS</t>
  </si>
  <si>
    <t>Y8NZT00001252</t>
  </si>
  <si>
    <t>0205941| 0205942| 0205943| 0205944</t>
  </si>
  <si>
    <t>Durbanville</t>
  </si>
  <si>
    <t>Y8NZT00001253</t>
  </si>
  <si>
    <t>0205945| 0205946| 0205947</t>
  </si>
  <si>
    <t>Khayelitsha KBD Shop 37</t>
  </si>
  <si>
    <t>Y8NZT00001254</t>
  </si>
  <si>
    <t>0205948| 0205949| 0205950| 0205951| 0205952| 0205953| 0205954| 0205955| 0205956</t>
  </si>
  <si>
    <t>Mitchells Plain Westgate Mall</t>
  </si>
  <si>
    <t>Y8NZT00001255</t>
  </si>
  <si>
    <t>0205957| 0205958| 0205959|0205960| 0205961</t>
  </si>
  <si>
    <t>Mossel Bay Langeberg</t>
  </si>
  <si>
    <t>SIM</t>
  </si>
  <si>
    <t>Y8NZT00001256</t>
  </si>
  <si>
    <t>000166941</t>
  </si>
  <si>
    <t>Kuils River Van Riebeeck</t>
  </si>
  <si>
    <t>Y8NZT00001257</t>
  </si>
  <si>
    <t>000166940</t>
  </si>
  <si>
    <t>Worcester Q-Square</t>
  </si>
  <si>
    <t>Y8NZT00001258</t>
  </si>
  <si>
    <t>000166942</t>
  </si>
  <si>
    <t>Paarl Main Road</t>
  </si>
  <si>
    <t>Y8NZT00001259</t>
  </si>
  <si>
    <t>0205962| 0205963| 0205964</t>
  </si>
  <si>
    <t>Tokai Blue Route Mall</t>
  </si>
  <si>
    <t>Y8NZT00001260</t>
  </si>
  <si>
    <t>0205985| 0205986| 0205987</t>
  </si>
  <si>
    <t>Kuils River Zevenwacht 118</t>
  </si>
  <si>
    <t>Y8NZT00001261</t>
  </si>
  <si>
    <t>000166943</t>
  </si>
  <si>
    <t>Atlantis City Mall L38</t>
  </si>
  <si>
    <t>Y8NZT00001262</t>
  </si>
  <si>
    <t>0205937| 0205938| 0205939| 0205940| 0205981| 0205982| 0205983</t>
  </si>
  <si>
    <t>George Hibernia</t>
  </si>
  <si>
    <t>Y8NZT00001263</t>
  </si>
  <si>
    <t>0205918| 0205919| 0205920| 0205921| 0205922|0205917</t>
  </si>
  <si>
    <t>Parow Centre</t>
  </si>
  <si>
    <t>Y8NZT00001264</t>
  </si>
  <si>
    <t>0205923| 0205924| 0205925| 0205926| 0205927| 0205928</t>
  </si>
  <si>
    <t>Fish Hoek Arcade</t>
  </si>
  <si>
    <t>Y8NZT00001265</t>
  </si>
  <si>
    <t>0205929| 0205930</t>
  </si>
  <si>
    <t>Philippi Eisleben</t>
  </si>
  <si>
    <t>Y8NZT00001266</t>
  </si>
  <si>
    <t>0205931| 0205932| 0205933| 0205934| 0205935| 0205936| 0205965| 0205966</t>
  </si>
  <si>
    <t>Port Elizabeth Kenako</t>
  </si>
  <si>
    <t>Y8NZT00001267</t>
  </si>
  <si>
    <t>0205967| 0205968| 0205969| 0205970| 0205971</t>
  </si>
  <si>
    <t>Parow Park</t>
  </si>
  <si>
    <t>Y8NZT00001268</t>
  </si>
  <si>
    <t xml:space="preserve">31971| 31972  </t>
  </si>
  <si>
    <t>000166891</t>
  </si>
  <si>
    <t>Port Elizabeth Bay West Mall</t>
  </si>
  <si>
    <t>Y8NZT00001269</t>
  </si>
  <si>
    <t>0205972| 0205973| 0205974</t>
  </si>
  <si>
    <t>Port Elizabeth Greenacres N12</t>
  </si>
  <si>
    <t>Y8NZT00001270</t>
  </si>
  <si>
    <t>0205975| 0205976| 0205977</t>
  </si>
  <si>
    <t>Hermanus Whale Coast Mall</t>
  </si>
  <si>
    <t>Y8NZT00001271</t>
  </si>
  <si>
    <t>0205978| 0205979| 0205980| 0205984</t>
  </si>
  <si>
    <t>Nelspruit Plaza</t>
  </si>
  <si>
    <t>Y8NZT00001272</t>
  </si>
  <si>
    <t>000166892</t>
  </si>
  <si>
    <t>Kempton Park Kempstar</t>
  </si>
  <si>
    <t>Y8NZT00001273</t>
  </si>
  <si>
    <t>000166946</t>
  </si>
  <si>
    <t>Vanderbijlpark Vaalgate</t>
  </si>
  <si>
    <t>Y8NZT00001274</t>
  </si>
  <si>
    <t xml:space="preserve">32082| 32083  </t>
  </si>
  <si>
    <t>000166947</t>
  </si>
  <si>
    <t>Polokwane Middestad Mall</t>
  </si>
  <si>
    <t>Y8NZT00001275</t>
  </si>
  <si>
    <t xml:space="preserve">32084| 32085| 32086  </t>
  </si>
  <si>
    <t>000166949</t>
  </si>
  <si>
    <t>Boksburg Trichardt</t>
  </si>
  <si>
    <t>Y8NZT00001276</t>
  </si>
  <si>
    <t xml:space="preserve">32073| 32074  </t>
  </si>
  <si>
    <t>000166950</t>
  </si>
  <si>
    <t>Pretoria Rosslyn</t>
  </si>
  <si>
    <t>Y8NZT00001277</t>
  </si>
  <si>
    <t xml:space="preserve">32075| 32076  </t>
  </si>
  <si>
    <t>000166895</t>
  </si>
  <si>
    <t>Soshanguve Mall V15</t>
  </si>
  <si>
    <t>Y8NZT00001278</t>
  </si>
  <si>
    <t>000166893</t>
  </si>
  <si>
    <t>Lenasia Trade Route Mall</t>
  </si>
  <si>
    <t>Y8NZT00001279</t>
  </si>
  <si>
    <t>000166896</t>
  </si>
  <si>
    <t>Vosloorus Chris Hani Crossing</t>
  </si>
  <si>
    <t>Y8NZT00001280</t>
  </si>
  <si>
    <t xml:space="preserve">32066| 32079  </t>
  </si>
  <si>
    <t>000166899</t>
  </si>
  <si>
    <t>Vanderbijlpark Vaal Mall</t>
  </si>
  <si>
    <t>Y8NZT00001281</t>
  </si>
  <si>
    <t xml:space="preserve">32068| 32067  </t>
  </si>
  <si>
    <t>000166894</t>
  </si>
  <si>
    <t>Kuruman Mall 3A</t>
  </si>
  <si>
    <t>Y8NZT00001282</t>
  </si>
  <si>
    <t xml:space="preserve">32069| 32070  </t>
  </si>
  <si>
    <t>000166952</t>
  </si>
  <si>
    <t>Harrismith</t>
  </si>
  <si>
    <t>Y8NZT00001283</t>
  </si>
  <si>
    <t>000166963</t>
  </si>
  <si>
    <t>Dennilton Moutse Mall</t>
  </si>
  <si>
    <t>Y8NZT00001284</t>
  </si>
  <si>
    <t>000166901</t>
  </si>
  <si>
    <t>Piet Retief Church</t>
  </si>
  <si>
    <t>Y8NZT00001285</t>
  </si>
  <si>
    <t xml:space="preserve">32059| 32060| 32061| 32062  </t>
  </si>
  <si>
    <t>Mkuze</t>
  </si>
  <si>
    <t>Y8NZT00001286</t>
  </si>
  <si>
    <t>000166898</t>
  </si>
  <si>
    <t>Malamulele Mala Plaza</t>
  </si>
  <si>
    <t>Y8NZT00001287</t>
  </si>
  <si>
    <t xml:space="preserve">32023| 32064| 32065  </t>
  </si>
  <si>
    <t>000166897</t>
  </si>
  <si>
    <t>Bloemfontein Heidedal</t>
  </si>
  <si>
    <t>Y8NZT00001288</t>
  </si>
  <si>
    <t xml:space="preserve">32024| 32025  </t>
  </si>
  <si>
    <t>000166900</t>
  </si>
  <si>
    <t>Middelburg OR Tambo</t>
  </si>
  <si>
    <t>Y8NZT00001289</t>
  </si>
  <si>
    <t>000166902</t>
  </si>
  <si>
    <t>Kakamas Kokerboom Centre</t>
  </si>
  <si>
    <t>Y8NZT00001290</t>
  </si>
  <si>
    <t xml:space="preserve">32027| 32028  </t>
  </si>
  <si>
    <t>000166903</t>
  </si>
  <si>
    <t>Rustenburg Boitekong Centre</t>
  </si>
  <si>
    <t>Y8NZT00001291</t>
  </si>
  <si>
    <t xml:space="preserve">32029| 32037  </t>
  </si>
  <si>
    <t>000166906</t>
  </si>
  <si>
    <t>Upington Market</t>
  </si>
  <si>
    <t>Y8NZT00001292</t>
  </si>
  <si>
    <t xml:space="preserve">32038| 32039  </t>
  </si>
  <si>
    <t>000166904</t>
  </si>
  <si>
    <t>Newcastle Mall</t>
  </si>
  <si>
    <t>Y8NZT00001293</t>
  </si>
  <si>
    <t>000166905</t>
  </si>
  <si>
    <t>Ballito Lifestyle</t>
  </si>
  <si>
    <t>Y8NZT00001294</t>
  </si>
  <si>
    <t xml:space="preserve">32041| 32042| 32043  </t>
  </si>
  <si>
    <t>000166911</t>
  </si>
  <si>
    <t>Soweto Protea Glen</t>
  </si>
  <si>
    <t>Y8NZT00001295</t>
  </si>
  <si>
    <t>000166910</t>
  </si>
  <si>
    <t>Newcastle Village Walk</t>
  </si>
  <si>
    <t>Y8NZT00001296</t>
  </si>
  <si>
    <t>000166908</t>
  </si>
  <si>
    <t>Sterkspruit Parkies Plaza</t>
  </si>
  <si>
    <t>Y8NZT00001297</t>
  </si>
  <si>
    <t xml:space="preserve">32054| 32055  </t>
  </si>
  <si>
    <t>000166909</t>
  </si>
  <si>
    <t>Nkomazi Tonga</t>
  </si>
  <si>
    <t>Y8NZT00001298</t>
  </si>
  <si>
    <t>000166907</t>
  </si>
  <si>
    <t>Katlehong Sam Ntuli Mall</t>
  </si>
  <si>
    <t>Y8NZT00001299</t>
  </si>
  <si>
    <t xml:space="preserve">32030| 32031| 32045  </t>
  </si>
  <si>
    <t>000166913</t>
  </si>
  <si>
    <t>Postmasburg Sibilo</t>
  </si>
  <si>
    <t>Y8NZT00001300</t>
  </si>
  <si>
    <t xml:space="preserve">32032| 32046  </t>
  </si>
  <si>
    <t>000166912</t>
  </si>
  <si>
    <t>Mkhuhlu</t>
  </si>
  <si>
    <t>Y8NZT00001301</t>
  </si>
  <si>
    <t>000166914</t>
  </si>
  <si>
    <t>Amanzimtoti Galleria Mall G64</t>
  </si>
  <si>
    <t>Y8NZT00001302</t>
  </si>
  <si>
    <t xml:space="preserve">32017| 32018  </t>
  </si>
  <si>
    <t>000166915</t>
  </si>
  <si>
    <t>Potchefstroom River Walk 2</t>
  </si>
  <si>
    <t>Y8NZT00001303</t>
  </si>
  <si>
    <t xml:space="preserve">32047| 32048  </t>
  </si>
  <si>
    <t>000166916</t>
  </si>
  <si>
    <t>Tafelkop Mall</t>
  </si>
  <si>
    <t>Y8NZT00001304</t>
  </si>
  <si>
    <t>000166917</t>
  </si>
  <si>
    <t>Bethlehem Muller</t>
  </si>
  <si>
    <t>Y8NZT00001305</t>
  </si>
  <si>
    <t>000166918</t>
  </si>
  <si>
    <t>Chatsworth</t>
  </si>
  <si>
    <t>Y8NZT00001306</t>
  </si>
  <si>
    <t xml:space="preserve">32056| 32057  </t>
  </si>
  <si>
    <t>000166919</t>
  </si>
  <si>
    <t>Giyani Masingita Mall N183</t>
  </si>
  <si>
    <t>Y8NZT00001307</t>
  </si>
  <si>
    <t xml:space="preserve">32034| 32035| 32049| 32058  </t>
  </si>
  <si>
    <t>Mandeni Centre</t>
  </si>
  <si>
    <t>Y8NZT00001308</t>
  </si>
  <si>
    <t xml:space="preserve">32020| 32021  </t>
  </si>
  <si>
    <t>000166920</t>
  </si>
  <si>
    <t>Bloemfontein Rocklands Centre</t>
  </si>
  <si>
    <t>Y8NZT00001309</t>
  </si>
  <si>
    <t xml:space="preserve">32036| 32050  </t>
  </si>
  <si>
    <t>000166921</t>
  </si>
  <si>
    <t>Pretoria Suncardia Centre</t>
  </si>
  <si>
    <t>Y8NZT00001310</t>
  </si>
  <si>
    <t>000166922</t>
  </si>
  <si>
    <t>Modimolle ModiMall</t>
  </si>
  <si>
    <t>Y8NZT00001311</t>
  </si>
  <si>
    <t>000166925</t>
  </si>
  <si>
    <t>Centurion Mall 32</t>
  </si>
  <si>
    <t>Y8NZT00001312</t>
  </si>
  <si>
    <t>000166924</t>
  </si>
  <si>
    <t>Richards Bay Town Square Mall</t>
  </si>
  <si>
    <t>Y8NZT00001313</t>
  </si>
  <si>
    <t>000166927</t>
  </si>
  <si>
    <t>Nelspruit Henshall</t>
  </si>
  <si>
    <t>Y8NZT00001314</t>
  </si>
  <si>
    <t xml:space="preserve">32012| 32003  </t>
  </si>
  <si>
    <t>000166930</t>
  </si>
  <si>
    <t>Pietermaritzburg Church Street 187</t>
  </si>
  <si>
    <t>Y8NZT00001315</t>
  </si>
  <si>
    <t xml:space="preserve">32013| 32014  </t>
  </si>
  <si>
    <t>000166928</t>
  </si>
  <si>
    <t>Brits Pienaar</t>
  </si>
  <si>
    <t>Y8NZT00001316</t>
  </si>
  <si>
    <t xml:space="preserve">32015| 32022  </t>
  </si>
  <si>
    <t>000166926</t>
  </si>
  <si>
    <t>Kempton Park Kempton Square</t>
  </si>
  <si>
    <t>Y8NZT00001317</t>
  </si>
  <si>
    <t xml:space="preserve">32004| 32005  </t>
  </si>
  <si>
    <t>000166929</t>
  </si>
  <si>
    <t>Phoenix Plaza</t>
  </si>
  <si>
    <t>Y8NZT00001318</t>
  </si>
  <si>
    <t>000166931</t>
  </si>
  <si>
    <t>Kimberley North Cape Mall</t>
  </si>
  <si>
    <t>Y8NZT00001319</t>
  </si>
  <si>
    <t xml:space="preserve">32007| 32008  </t>
  </si>
  <si>
    <t>000166934</t>
  </si>
  <si>
    <t>Wolmaransstad</t>
  </si>
  <si>
    <t>Y8NZT00001320</t>
  </si>
  <si>
    <t xml:space="preserve">31994| 31995  </t>
  </si>
  <si>
    <t>000166933</t>
  </si>
  <si>
    <t>KwaMashu Bridge City L15</t>
  </si>
  <si>
    <t>Y8NZT00001321</t>
  </si>
  <si>
    <t xml:space="preserve">31996| 31997  </t>
  </si>
  <si>
    <t>000166932</t>
  </si>
  <si>
    <t>Musina Mall</t>
  </si>
  <si>
    <t>Y8NZT00001322</t>
  </si>
  <si>
    <t xml:space="preserve">31998| 31999  </t>
  </si>
  <si>
    <t>000166936</t>
  </si>
  <si>
    <t>Siyabuswa Mall @ Moutsiya</t>
  </si>
  <si>
    <t>Y8NZT00001323</t>
  </si>
  <si>
    <t>000166935</t>
  </si>
  <si>
    <t>Amanzimtoti Seadoone Mall</t>
  </si>
  <si>
    <t>Y8NZT00001324</t>
  </si>
  <si>
    <t>000166923</t>
  </si>
  <si>
    <t>Ballito Junction</t>
  </si>
  <si>
    <t>Y8NZT00001325</t>
  </si>
  <si>
    <t xml:space="preserve">31988| 31989| 31990  </t>
  </si>
  <si>
    <t>000166937</t>
  </si>
  <si>
    <t>Randfontein Tambotie</t>
  </si>
  <si>
    <t>Y8NZT00001326</t>
  </si>
  <si>
    <t>000166939</t>
  </si>
  <si>
    <t>Witbank Saveways Centre</t>
  </si>
  <si>
    <t>Y8NZT00001327</t>
  </si>
  <si>
    <t xml:space="preserve">31992| 31993  </t>
  </si>
  <si>
    <t>000166953</t>
  </si>
  <si>
    <t>Durban Montclair</t>
  </si>
  <si>
    <t>Y8NZT00001328</t>
  </si>
  <si>
    <t>000166951</t>
  </si>
  <si>
    <t>Welkom Goldfields Mall 50</t>
  </si>
  <si>
    <t>Y8NZT00001329</t>
  </si>
  <si>
    <t xml:space="preserve">31982| 31981  </t>
  </si>
  <si>
    <t>000166948</t>
  </si>
  <si>
    <t>Nelspruit Brown</t>
  </si>
  <si>
    <t>Y8NZT00001330</t>
  </si>
  <si>
    <t xml:space="preserve">31983| 31984  </t>
  </si>
  <si>
    <t>000166944</t>
  </si>
  <si>
    <t>Mamelodi Crossing H14</t>
  </si>
  <si>
    <t>Y8NZT00001331</t>
  </si>
  <si>
    <t>000166938</t>
  </si>
  <si>
    <t>Pretoria Middestad Mall</t>
  </si>
  <si>
    <t>Y8NZT00001332</t>
  </si>
  <si>
    <t xml:space="preserve">31973| 31986  </t>
  </si>
  <si>
    <t>Mamelodi Mams Mall 111</t>
  </si>
  <si>
    <t>Y8NZT00001333</t>
  </si>
  <si>
    <t xml:space="preserve">31974| 31975| 31976  </t>
  </si>
  <si>
    <t>Dwarsloop Mall</t>
  </si>
  <si>
    <t>Y8NZT00001334</t>
  </si>
  <si>
    <t xml:space="preserve">31977| 31978  </t>
  </si>
  <si>
    <t>Plettenberg Bay</t>
  </si>
  <si>
    <t>Y8NZT00001335</t>
  </si>
  <si>
    <t>Paarl Lady Grey 70</t>
  </si>
  <si>
    <t>Y8NZT00001336</t>
  </si>
  <si>
    <t>Knysna Main</t>
  </si>
  <si>
    <t>Y8NZT00001337</t>
  </si>
  <si>
    <t>Kenilworth Centre</t>
  </si>
  <si>
    <t>Y8NZT00001338</t>
  </si>
  <si>
    <t>Table View Bayside Mall</t>
  </si>
  <si>
    <t>Y8NZT00001339</t>
  </si>
  <si>
    <t>0206012| 0206013| 0206014| 0206015</t>
  </si>
  <si>
    <t>Cape Town Adderley</t>
  </si>
  <si>
    <t>Y8NZT00001340</t>
  </si>
  <si>
    <t>0206016| 0205992| 0205988</t>
  </si>
  <si>
    <t>Mitchells Plain Promenade 112</t>
  </si>
  <si>
    <t>Y8NZT00001341</t>
  </si>
  <si>
    <t>0205989| 0205993| 0205996| 0205997</t>
  </si>
  <si>
    <t>CPT V&amp;A Waterfront</t>
  </si>
  <si>
    <t>Y8NZT00001342</t>
  </si>
  <si>
    <t>Muizenberg Capricorn Square</t>
  </si>
  <si>
    <t>Y8NZT00001343</t>
  </si>
  <si>
    <t>0205990| 0205994| 0205995</t>
  </si>
  <si>
    <t>Port Elizabeth Walmer Park</t>
  </si>
  <si>
    <t>Y8NZT00001344</t>
  </si>
  <si>
    <t>Stellenbosch Eikestad</t>
  </si>
  <si>
    <t>Y8NZT00001345</t>
  </si>
  <si>
    <t>0206004| 0206005| 0206008| 0206009| 0205991</t>
  </si>
  <si>
    <t>Wellington</t>
  </si>
  <si>
    <t>Y8NZT00001346</t>
  </si>
  <si>
    <t>0206000| 0206001| 0206003| 0206006| 0206010</t>
  </si>
  <si>
    <t>Eerste River Grand Central</t>
  </si>
  <si>
    <t>Y8NZT00001347</t>
  </si>
  <si>
    <t>Philippi The Junction</t>
  </si>
  <si>
    <t>Y8NZT00001348</t>
  </si>
  <si>
    <t xml:space="preserve">32101| 32091  </t>
  </si>
  <si>
    <t>Y8NZT00001349</t>
  </si>
  <si>
    <t>Vredenburg Weskus Mall</t>
  </si>
  <si>
    <t>Y8NZT00001350</t>
  </si>
  <si>
    <t>0206011| 0205998| 0205999</t>
  </si>
  <si>
    <t>Riversdale</t>
  </si>
  <si>
    <t>Y8NZT00001351</t>
  </si>
  <si>
    <t>0206002| 0206007</t>
  </si>
  <si>
    <t>Germiston Golden Walk 72</t>
  </si>
  <si>
    <t>Y8NZT00001352</t>
  </si>
  <si>
    <t xml:space="preserve">32094| 32098  </t>
  </si>
  <si>
    <t>Thohoyandou Tshanduku</t>
  </si>
  <si>
    <t>Y8NZT00001353</t>
  </si>
  <si>
    <t xml:space="preserve">32092| 32099| 32095  </t>
  </si>
  <si>
    <t>Southgate Mall L173A</t>
  </si>
  <si>
    <t>Y8NZT00001354</t>
  </si>
  <si>
    <t xml:space="preserve">32107| 32093  </t>
  </si>
  <si>
    <t>Northam Plaza 13</t>
  </si>
  <si>
    <t>Y8NZT00001355</t>
  </si>
  <si>
    <t xml:space="preserve">32104| 32090  </t>
  </si>
  <si>
    <t>Elukwatini</t>
  </si>
  <si>
    <t>Y8NZT00001356</t>
  </si>
  <si>
    <t xml:space="preserve">32102| 32103  </t>
  </si>
  <si>
    <t>Queenstown Cathcart</t>
  </si>
  <si>
    <t>Y8NZT00001357</t>
  </si>
  <si>
    <t>Sterkspruit Main</t>
  </si>
  <si>
    <t>Y8NZT00001358</t>
  </si>
  <si>
    <t>Bethal Shopping Centre</t>
  </si>
  <si>
    <t>Y8NZT00001359</t>
  </si>
  <si>
    <t xml:space="preserve">32096| 32151  </t>
  </si>
  <si>
    <t>Kimberley Diamond Pavilion</t>
  </si>
  <si>
    <t>Y8NZT00001360</t>
  </si>
  <si>
    <t>Lichtenburg Parkview Centre</t>
  </si>
  <si>
    <t>Y8NZT00001361</t>
  </si>
  <si>
    <t xml:space="preserve">32166| 32167  </t>
  </si>
  <si>
    <t>Durban West 448</t>
  </si>
  <si>
    <t>Y8NZT00001362</t>
  </si>
  <si>
    <t xml:space="preserve">32152| 32153| 32168  </t>
  </si>
  <si>
    <t>Volksrust</t>
  </si>
  <si>
    <t>Y8NZT00001363</t>
  </si>
  <si>
    <t xml:space="preserve">32160| 32154  </t>
  </si>
  <si>
    <t>Manguzi</t>
  </si>
  <si>
    <t>Y8NZT00001364</t>
  </si>
  <si>
    <t xml:space="preserve">32159| 32161  </t>
  </si>
  <si>
    <t>Hillcrest</t>
  </si>
  <si>
    <t>Y8NZT00001365</t>
  </si>
  <si>
    <t>Pretoria Andries</t>
  </si>
  <si>
    <t>Y8NZT00001366</t>
  </si>
  <si>
    <t>Margate Hibiscus Mall</t>
  </si>
  <si>
    <t>Y8NZT00001367</t>
  </si>
  <si>
    <t>Woodmead</t>
  </si>
  <si>
    <t>Y8NZT00001368</t>
  </si>
  <si>
    <t>Meyerton</t>
  </si>
  <si>
    <t>Y8NZT00001369</t>
  </si>
  <si>
    <t>Pretoria Glenfair</t>
  </si>
  <si>
    <t>Y8NZT00001370</t>
  </si>
  <si>
    <t>Engcobo High 306</t>
  </si>
  <si>
    <t>Y8NZT00001371</t>
  </si>
  <si>
    <t>Johannesburg Brixton Protea</t>
  </si>
  <si>
    <t>Y8NZT00001372</t>
  </si>
  <si>
    <t>Steelpoort Rodium</t>
  </si>
  <si>
    <t>Y8NZT00001373</t>
  </si>
  <si>
    <t xml:space="preserve">32181| 32182| 32183  </t>
  </si>
  <si>
    <t>Rustenburg Boitekong</t>
  </si>
  <si>
    <t>Y8NZT00001374</t>
  </si>
  <si>
    <t xml:space="preserve">32155| 32172  </t>
  </si>
  <si>
    <t>Kroonstad Oranje</t>
  </si>
  <si>
    <t>Y8NZT00001375</t>
  </si>
  <si>
    <t xml:space="preserve">32184| 32185  </t>
  </si>
  <si>
    <t>Durban West 320</t>
  </si>
  <si>
    <t>Y8NZT00001376</t>
  </si>
  <si>
    <t xml:space="preserve">32177| 32186  </t>
  </si>
  <si>
    <t>Humansdorp</t>
  </si>
  <si>
    <t>Y8NZT00001377</t>
  </si>
  <si>
    <t>Hendrina</t>
  </si>
  <si>
    <t>Y8NZT00001378</t>
  </si>
  <si>
    <t>Johannesburg Mall of the South</t>
  </si>
  <si>
    <t>Y8NZT00001379</t>
  </si>
  <si>
    <t>Rustenburg Plaza</t>
  </si>
  <si>
    <t>Y8NZT00001380</t>
  </si>
  <si>
    <t>Schoemansdal Matsamo Mall</t>
  </si>
  <si>
    <t>Y8NZT00001381</t>
  </si>
  <si>
    <t>Monsterlus Moratiwa Mall</t>
  </si>
  <si>
    <t>Y8NZT00001382</t>
  </si>
  <si>
    <t>King Williams Town Stone Towers</t>
  </si>
  <si>
    <t>Y8NZT00001383</t>
  </si>
  <si>
    <t>Krugersdorp President Square</t>
  </si>
  <si>
    <t>Y8NZT00001384</t>
  </si>
  <si>
    <t xml:space="preserve">32158| 32157  </t>
  </si>
  <si>
    <t>Newcastle Scott</t>
  </si>
  <si>
    <t>Y8NZT00001385</t>
  </si>
  <si>
    <t>Pinetown Pinewalk Centre</t>
  </si>
  <si>
    <t>Y8NZT00001386</t>
  </si>
  <si>
    <t>Colesberg</t>
  </si>
  <si>
    <t>Y8NZT00001387</t>
  </si>
  <si>
    <t>Estcourt</t>
  </si>
  <si>
    <t>Y8NZT00001388</t>
  </si>
  <si>
    <t xml:space="preserve">32147| 32148| 32149  </t>
  </si>
  <si>
    <t>Pretoria van der Walt</t>
  </si>
  <si>
    <t>Y8NZT00001389</t>
  </si>
  <si>
    <t>Mthatha Madeira</t>
  </si>
  <si>
    <t>Y8NZT00001390</t>
  </si>
  <si>
    <t xml:space="preserve">32130| 32131  </t>
  </si>
  <si>
    <t>Westonaria Westville</t>
  </si>
  <si>
    <t>Y8NZT00001391</t>
  </si>
  <si>
    <t>Kuruman Beare</t>
  </si>
  <si>
    <t>Y8NZT00001392</t>
  </si>
  <si>
    <t xml:space="preserve">32133| 32134  </t>
  </si>
  <si>
    <t>Belfast</t>
  </si>
  <si>
    <t>Y8NZT00001393</t>
  </si>
  <si>
    <t xml:space="preserve">32135| 32136  </t>
  </si>
  <si>
    <t>Krugersdorp Human</t>
  </si>
  <si>
    <t>Y8NZT00001394</t>
  </si>
  <si>
    <t>Roodepoort Westgate 006B</t>
  </si>
  <si>
    <t>Y8NZT00001395</t>
  </si>
  <si>
    <t xml:space="preserve">32139| 32140  </t>
  </si>
  <si>
    <t>Middelburg Cape</t>
  </si>
  <si>
    <t>Y8NZT00001396</t>
  </si>
  <si>
    <t>Thohoyandou Paradise Corner</t>
  </si>
  <si>
    <t>Y8NZT00001397</t>
  </si>
  <si>
    <t xml:space="preserve">32141| 32142  </t>
  </si>
  <si>
    <t>Bloemfontein Fleurdal</t>
  </si>
  <si>
    <t>Y8NZT00001398</t>
  </si>
  <si>
    <t>Centurion Mall@55</t>
  </si>
  <si>
    <t>Y8NZT00001399</t>
  </si>
  <si>
    <t xml:space="preserve">32123| 32124  </t>
  </si>
  <si>
    <t>Bloemfontein Mimosa Mall</t>
  </si>
  <si>
    <t>Y8NZT00001400</t>
  </si>
  <si>
    <t>Pongola</t>
  </si>
  <si>
    <t>Y8NZT00001401</t>
  </si>
  <si>
    <t>Cosmo City Mall 150</t>
  </si>
  <si>
    <t>Y8NZT00001402</t>
  </si>
  <si>
    <t>Midrand Old Pretoria</t>
  </si>
  <si>
    <t>Y8NZT00001403</t>
  </si>
  <si>
    <t>Botshabelo Mall</t>
  </si>
  <si>
    <t>Y8NZT00001404</t>
  </si>
  <si>
    <t xml:space="preserve">32116| 32129  </t>
  </si>
  <si>
    <t>Nigel</t>
  </si>
  <si>
    <t>Y8NZT00001405</t>
  </si>
  <si>
    <t>Empangeni Commercial</t>
  </si>
  <si>
    <t>Y8NZT00001406</t>
  </si>
  <si>
    <t xml:space="preserve">32118| 32119  </t>
  </si>
  <si>
    <t>Virginia</t>
  </si>
  <si>
    <t>Y8NZT00001407</t>
  </si>
  <si>
    <t>Witbank Ben Fleur Centre</t>
  </si>
  <si>
    <t>Y8NZT00001408</t>
  </si>
  <si>
    <t>Piet Retief Mall at Mfula</t>
  </si>
  <si>
    <t>Y8NZT00001409</t>
  </si>
  <si>
    <t>Malelane Ingwe Centre</t>
  </si>
  <si>
    <t>Y8NZT00001410</t>
  </si>
  <si>
    <t>East London Vincent Park</t>
  </si>
  <si>
    <t>Y8NZT00001411</t>
  </si>
  <si>
    <t>Stanger KwaDukuza Mall</t>
  </si>
  <si>
    <t>Y8NZT00001412</t>
  </si>
  <si>
    <t xml:space="preserve">32110| 32112  </t>
  </si>
  <si>
    <t>Randburg Ferndale Mall</t>
  </si>
  <si>
    <t>Y8NZT00001414</t>
  </si>
  <si>
    <t>Atteridgeville Nkomo Village</t>
  </si>
  <si>
    <t>Y8NZT00001413</t>
  </si>
  <si>
    <t xml:space="preserve">32114| 32115  </t>
  </si>
  <si>
    <t>Mitchells Plain Promenade 72</t>
  </si>
  <si>
    <t>Y8NZT00001416</t>
  </si>
  <si>
    <t>0206057| 0206058| 0206053| 0206054| 0206055| 0206056</t>
  </si>
  <si>
    <t>Y8NZT00001417</t>
  </si>
  <si>
    <t>0206049| 0206050| 0206051| 0206052</t>
  </si>
  <si>
    <t>Port Elizabeth Newton Park</t>
  </si>
  <si>
    <t>Y8NZT00001418</t>
  </si>
  <si>
    <t>0206045| 0206046</t>
  </si>
  <si>
    <t>Somerset Mall</t>
  </si>
  <si>
    <t>Y8NZT00001419</t>
  </si>
  <si>
    <t>0206021| 0206022| 0206023| 0206024</t>
  </si>
  <si>
    <t>Tyger Valley Centre</t>
  </si>
  <si>
    <t>Y8NZT00001420</t>
  </si>
  <si>
    <t>0206017| 0206018| 0206019| 0206020</t>
  </si>
  <si>
    <t>Y8NZT00001421</t>
  </si>
  <si>
    <t>0206025| 0206026| 0206027| 0206028</t>
  </si>
  <si>
    <t>Strand</t>
  </si>
  <si>
    <t>Y8NZT00001422</t>
  </si>
  <si>
    <t>0206029| 0206030| 0206031| 0206032| 0206033</t>
  </si>
  <si>
    <t>Ottery</t>
  </si>
  <si>
    <t>Y8NZT00001423</t>
  </si>
  <si>
    <t>0206034| 0206035| 0206036| 0206037</t>
  </si>
  <si>
    <t>Y8NZT00001424</t>
  </si>
  <si>
    <t>0206038| 0206039| 0206040</t>
  </si>
  <si>
    <t>Somerset West Main</t>
  </si>
  <si>
    <t>Y8NZT00001425</t>
  </si>
  <si>
    <t>0206041| 0206042| 0206043| 0206044| 0206047| 0206048</t>
  </si>
  <si>
    <t>Durban The Workshop 72</t>
  </si>
  <si>
    <t>Y8NZT00001426</t>
  </si>
  <si>
    <t xml:space="preserve">32191| 32192| 32194| 32201  </t>
  </si>
  <si>
    <t>Thohoyandou Thavhani U1d</t>
  </si>
  <si>
    <t>Y8NZT00001453</t>
  </si>
  <si>
    <t xml:space="preserve">32198| 32196| 32193   </t>
  </si>
  <si>
    <t>Mafikeng Carrington</t>
  </si>
  <si>
    <t>Y8NZT00001427</t>
  </si>
  <si>
    <t xml:space="preserve">32200| 32197| 32195  </t>
  </si>
  <si>
    <t>Polokwane Seshego</t>
  </si>
  <si>
    <t>Y8NZT00001428</t>
  </si>
  <si>
    <t xml:space="preserve">32244| 32245  </t>
  </si>
  <si>
    <t>Groblersdal Van Riebeeck</t>
  </si>
  <si>
    <t>Y8NZT00001429</t>
  </si>
  <si>
    <t xml:space="preserve">32199| 32246 | 32247   </t>
  </si>
  <si>
    <t>Groblersdal Mall</t>
  </si>
  <si>
    <t>Y8NZT00001430</t>
  </si>
  <si>
    <t xml:space="preserve">32248| 32249| 32250    </t>
  </si>
  <si>
    <t>Empangeni Shopping Centre</t>
  </si>
  <si>
    <t>Y8NZT00001431</t>
  </si>
  <si>
    <t xml:space="preserve">32237| 32238  </t>
  </si>
  <si>
    <t>KwaMhlanga Phola Park</t>
  </si>
  <si>
    <t>Y8NZT00001432</t>
  </si>
  <si>
    <t xml:space="preserve">32239| 32240  </t>
  </si>
  <si>
    <t>Jane Furse Crossing</t>
  </si>
  <si>
    <t>Y8NZT00001433</t>
  </si>
  <si>
    <t xml:space="preserve">32241| 32242  </t>
  </si>
  <si>
    <t>Tembisa Phumulani 25</t>
  </si>
  <si>
    <t>Y8NZT00001434</t>
  </si>
  <si>
    <t xml:space="preserve">32230| 32243  </t>
  </si>
  <si>
    <t>Ogies</t>
  </si>
  <si>
    <t>Y8NZT00001454</t>
  </si>
  <si>
    <t xml:space="preserve">32231| 32232  </t>
  </si>
  <si>
    <t>Kathu Village Mall</t>
  </si>
  <si>
    <t>Y8NZT00001435</t>
  </si>
  <si>
    <t xml:space="preserve">32233| 32234  </t>
  </si>
  <si>
    <t>Tibane Tibani Centre</t>
  </si>
  <si>
    <t>Y8NZT00001436</t>
  </si>
  <si>
    <t xml:space="preserve">32235| 32236  </t>
  </si>
  <si>
    <t>Soweto Jabulani 79</t>
  </si>
  <si>
    <t>Y8NZT00001438</t>
  </si>
  <si>
    <t xml:space="preserve">32223| 32224  </t>
  </si>
  <si>
    <t>Hazyview Blue Haze 309</t>
  </si>
  <si>
    <t>Y8NZT00001439</t>
  </si>
  <si>
    <t xml:space="preserve">32225| 32226  </t>
  </si>
  <si>
    <t>Port St Johns</t>
  </si>
  <si>
    <t>Y8NZT00001440</t>
  </si>
  <si>
    <t xml:space="preserve">32227| 32228  </t>
  </si>
  <si>
    <t>Bellville Middestad Mall</t>
  </si>
  <si>
    <t>Y8NZT00001441</t>
  </si>
  <si>
    <t xml:space="preserve">32216| 32229  </t>
  </si>
  <si>
    <t>Ga-Rankuwa</t>
  </si>
  <si>
    <t>Y8NZT00001442</t>
  </si>
  <si>
    <t xml:space="preserve">32217| 32218  </t>
  </si>
  <si>
    <t>Vanderbijlpark DF Malan</t>
  </si>
  <si>
    <t>Y8NZT00001443</t>
  </si>
  <si>
    <t xml:space="preserve">32219| 32220  </t>
  </si>
  <si>
    <t>Bloemfontein Central 116</t>
  </si>
  <si>
    <t>Y8NZT00001444</t>
  </si>
  <si>
    <t xml:space="preserve">32221| 32222  </t>
  </si>
  <si>
    <t>Bergville Mall</t>
  </si>
  <si>
    <t>Y8NZT00001445</t>
  </si>
  <si>
    <t xml:space="preserve">32209| 32210  </t>
  </si>
  <si>
    <t>Polokwane Biccard</t>
  </si>
  <si>
    <t>Y8NZT00001446</t>
  </si>
  <si>
    <t xml:space="preserve">32202| 32203  </t>
  </si>
  <si>
    <t>Mafikeng Mall</t>
  </si>
  <si>
    <t>Y8NZT00001447</t>
  </si>
  <si>
    <t xml:space="preserve">32211| 32212  </t>
  </si>
  <si>
    <t>Empangeni Maxwell</t>
  </si>
  <si>
    <t>Y8NZT00001448</t>
  </si>
  <si>
    <t xml:space="preserve">32213| 32214  </t>
  </si>
  <si>
    <t>Johannesburg Gandhi Square</t>
  </si>
  <si>
    <t>Y8NZT00001449</t>
  </si>
  <si>
    <t xml:space="preserve">32204| 32215  </t>
  </si>
  <si>
    <t>Modjadji</t>
  </si>
  <si>
    <t>Y8NZT00001450</t>
  </si>
  <si>
    <t xml:space="preserve">32205| 32206  </t>
  </si>
  <si>
    <t>Nkuzana Nkuna Kraal</t>
  </si>
  <si>
    <t>Y8NZT00001451</t>
  </si>
  <si>
    <t xml:space="preserve">32207| 32208  </t>
  </si>
  <si>
    <t>Montague Gardens</t>
  </si>
  <si>
    <t>Khayelitsha Site C Plaza</t>
  </si>
  <si>
    <t>Swellendam</t>
  </si>
  <si>
    <t>Claremont Cavendish</t>
  </si>
  <si>
    <t>Khayelitsha Makhaza 07</t>
  </si>
  <si>
    <t>Kuils River Zevenwacht</t>
  </si>
  <si>
    <t>Worcester Mountain Mill Centre</t>
  </si>
  <si>
    <t>Kraaifontein Bloch Centre</t>
  </si>
  <si>
    <t>Paarl Lady Grey 4</t>
  </si>
  <si>
    <t>Brackenfell Fairbridge Mall</t>
  </si>
  <si>
    <t>Goodwood Mall</t>
  </si>
  <si>
    <t>0206134| 0206135| 0206136</t>
  </si>
  <si>
    <t>000168020</t>
  </si>
  <si>
    <t>Mitchells Plain Watergate</t>
  </si>
  <si>
    <t>0206126| 0206127| 0206128| 0206129</t>
  </si>
  <si>
    <t>0071</t>
  </si>
  <si>
    <t>Garden Route Mall</t>
  </si>
  <si>
    <t>0206102| 0206103| 0206104</t>
  </si>
  <si>
    <t>000168023</t>
  </si>
  <si>
    <t>Caledon Pioneer</t>
  </si>
  <si>
    <t>0206105| 0206106| 0206107</t>
  </si>
  <si>
    <t>000168024</t>
  </si>
  <si>
    <t>Constantia Village</t>
  </si>
  <si>
    <t>0206131| 0206132</t>
  </si>
  <si>
    <t>000168022</t>
  </si>
  <si>
    <t>Citrusdal</t>
  </si>
  <si>
    <t>0206108| 0206109| 0206110</t>
  </si>
  <si>
    <t>000168021</t>
  </si>
  <si>
    <t>Piketberg</t>
  </si>
  <si>
    <t>0206111| 0206112| 0206113</t>
  </si>
  <si>
    <t>000168019</t>
  </si>
  <si>
    <t>Port Elizabeth Stanford</t>
  </si>
  <si>
    <t>0206133| 0206114| 0206115| 0206130</t>
  </si>
  <si>
    <t>0069</t>
  </si>
  <si>
    <t>Grabouw</t>
  </si>
  <si>
    <t>0206116| 0206117| 0206118| 0206119| 0206120</t>
  </si>
  <si>
    <t>0070</t>
  </si>
  <si>
    <t>Vredendal</t>
  </si>
  <si>
    <t>0206121| 0206122| 0206123| 0206124| 0206125</t>
  </si>
  <si>
    <t>0116</t>
  </si>
  <si>
    <t>CAPITEC BANK SUMMARY REPORT</t>
  </si>
  <si>
    <t>Files received</t>
  </si>
  <si>
    <t>Total quantity received</t>
  </si>
  <si>
    <t>Quantity In stock</t>
  </si>
  <si>
    <t>Quantity dispatched</t>
  </si>
  <si>
    <t>Comment</t>
  </si>
  <si>
    <t>Dispatch in progress</t>
  </si>
  <si>
    <t>P_974868_20250813.out</t>
  </si>
  <si>
    <t>P_974868_20251015.out</t>
  </si>
  <si>
    <t>P_974868_20251117.out</t>
  </si>
  <si>
    <t>P_090059_20260303.out</t>
  </si>
  <si>
    <t>P_090059_20260410.out</t>
  </si>
  <si>
    <t>Request for the Movement of Capitec Debit Cards from the Vault. Dispatch on hold</t>
  </si>
  <si>
    <t>Item</t>
  </si>
  <si>
    <t>Quantity</t>
  </si>
  <si>
    <t>Capitec Bank Debit Cards – Personalized</t>
  </si>
  <si>
    <t>Capitec SIM Cards – Stock on Hand</t>
  </si>
  <si>
    <t>2026 Capitec physical stock count</t>
  </si>
  <si>
    <t>DSV Consumables Inventory</t>
  </si>
  <si>
    <t>Item Description</t>
  </si>
  <si>
    <t>Quantity on Hand</t>
  </si>
  <si>
    <t>Required Stock Level</t>
  </si>
  <si>
    <t>Variance</t>
  </si>
  <si>
    <t>Supplier</t>
  </si>
  <si>
    <t>Small DSV plastic bags</t>
  </si>
  <si>
    <t>DSV Courier</t>
  </si>
  <si>
    <t>Big DSV plastic bags</t>
  </si>
  <si>
    <t>DSV Waybill stickers</t>
  </si>
  <si>
    <t>18 500</t>
  </si>
  <si>
    <t>DSV gripper numbers</t>
  </si>
  <si>
    <t>Crock Tubs</t>
  </si>
  <si>
    <t>Y8NZT00001455</t>
  </si>
  <si>
    <t>0206083| 0206084| 0206085</t>
  </si>
  <si>
    <t>Y8NZT00001456</t>
  </si>
  <si>
    <t>0206091| 0206092| 0206086| 0206087| 0206088| 0206089</t>
  </si>
  <si>
    <t>0118</t>
  </si>
  <si>
    <t>Y8NZT00001457</t>
  </si>
  <si>
    <t>0206096| 0206095| 0206093| 0206094</t>
  </si>
  <si>
    <t>Y8NZT00001458</t>
  </si>
  <si>
    <t>0206097| 0206098| 0206090</t>
  </si>
  <si>
    <t>Y8NZT00001459</t>
  </si>
  <si>
    <t>0206101| 0206100| 0206099| 0206059| 0206060| 0206061| 0206062</t>
  </si>
  <si>
    <t>Y8NZT00001460</t>
  </si>
  <si>
    <t>0206063| 0206064| 0206065| 0206066| 0206067</t>
  </si>
  <si>
    <t>Y8NZT00001461</t>
  </si>
  <si>
    <t>0206068| 0206069| 0206070</t>
  </si>
  <si>
    <t>Y8NZT00001462</t>
  </si>
  <si>
    <t>0206071| 0206072| 0206073| 0206074</t>
  </si>
  <si>
    <t>Y8NZT00001463</t>
  </si>
  <si>
    <t>0206079| 0206080| 0206075| 0206076| 0206077| 0206078</t>
  </si>
  <si>
    <t>Y8NZT00001464</t>
  </si>
  <si>
    <t>0206081| 0206082</t>
  </si>
  <si>
    <t>0119</t>
  </si>
  <si>
    <t>Y8NZT00001465</t>
  </si>
  <si>
    <t>Y8NZT00001466</t>
  </si>
  <si>
    <t>Y8NZT00001467</t>
  </si>
  <si>
    <t>Y8NZT00001468</t>
  </si>
  <si>
    <t>Y8NZT00001469</t>
  </si>
  <si>
    <t>Y8NZT00001470</t>
  </si>
  <si>
    <t>Y8NZT00001471</t>
  </si>
  <si>
    <t>Y8NZT00001472</t>
  </si>
  <si>
    <t>Y8NZT00001473</t>
  </si>
  <si>
    <t>Y8NZT00001474</t>
  </si>
  <si>
    <t>Vredenburg Shopping Centre</t>
  </si>
  <si>
    <t>Stellenbosch Die Boord</t>
  </si>
  <si>
    <t>Y8NZT0001475</t>
  </si>
  <si>
    <t>000168025</t>
  </si>
  <si>
    <t>Y8NZT0001476</t>
  </si>
  <si>
    <t>0120</t>
  </si>
  <si>
    <t>0206137| 0206138| 0206139</t>
  </si>
  <si>
    <t>0206140| 0206141| 0206142| 0206143| 0206144</t>
  </si>
  <si>
    <t>Y8NZT0001477</t>
  </si>
  <si>
    <t>000168027</t>
  </si>
  <si>
    <t>0206145</t>
  </si>
  <si>
    <t>Athlone Vangate Mall 102</t>
  </si>
  <si>
    <t>Parow Centre F1-87</t>
  </si>
  <si>
    <t>Brackenfell Old Paarl Rd</t>
  </si>
  <si>
    <t>0206152| 0206153| 0206154</t>
  </si>
  <si>
    <t>000168026</t>
  </si>
  <si>
    <t>0206146| 0206147| 0206148| 0206149| 0206150| 0206151</t>
  </si>
  <si>
    <t>40551| 40552</t>
  </si>
  <si>
    <t>0121</t>
  </si>
  <si>
    <t>0125</t>
  </si>
  <si>
    <t>40553| 40554| 40555</t>
  </si>
  <si>
    <t>0127</t>
  </si>
  <si>
    <t>40556| 40557</t>
  </si>
  <si>
    <t>0124</t>
  </si>
  <si>
    <t>Y8NZT00001478</t>
  </si>
  <si>
    <t>Y8NZT00001479</t>
  </si>
  <si>
    <t>Y8NZT00001480</t>
  </si>
  <si>
    <t>Y8NZT00001481</t>
  </si>
  <si>
    <t>Y8NZT00001482</t>
  </si>
  <si>
    <t>Y8NZT00001483</t>
  </si>
  <si>
    <t>40558| 40559</t>
  </si>
  <si>
    <t>0123</t>
  </si>
  <si>
    <t>JULY</t>
  </si>
  <si>
    <t>13/07/2026</t>
  </si>
  <si>
    <t>Malelane Inkwazi</t>
  </si>
  <si>
    <t>Matatiele</t>
  </si>
  <si>
    <t>Harmony Elandsrand</t>
  </si>
  <si>
    <t>Northgate Shopping Centre</t>
  </si>
  <si>
    <t>Mini-Pretoria Waverley Plaza</t>
  </si>
  <si>
    <t>Vryburg Market</t>
  </si>
  <si>
    <t>Springbok</t>
  </si>
  <si>
    <t>Howick</t>
  </si>
  <si>
    <t>Harding Ithala</t>
  </si>
  <si>
    <t>Butterworth King</t>
  </si>
  <si>
    <t>Giyani Masingita Centre</t>
  </si>
  <si>
    <t>Durban Joe Slovo</t>
  </si>
  <si>
    <t>Bela Bela Chris Hani</t>
  </si>
  <si>
    <t>PE Pier 14 Centre</t>
  </si>
  <si>
    <t>Port Elizabeth Govan Mbeki 64</t>
  </si>
  <si>
    <t>Bellville BSE</t>
  </si>
  <si>
    <t>Port Elizabeth Boardwalk</t>
  </si>
  <si>
    <t>Lenasia Square</t>
  </si>
  <si>
    <t>Burgersfort Twin City</t>
  </si>
  <si>
    <t>Mafikeng Northwest Mall</t>
  </si>
  <si>
    <t>Soweto Jabulani 1C</t>
  </si>
  <si>
    <t>East London Gillwell LG 5</t>
  </si>
  <si>
    <t>Durban Victoria</t>
  </si>
  <si>
    <t>Pretoria North Wonderpark 209</t>
  </si>
  <si>
    <t>Marble Hall</t>
  </si>
  <si>
    <t>Bochum Blouberg Mall</t>
  </si>
  <si>
    <t>Pietermaritzburg Edendale Mall</t>
  </si>
  <si>
    <t>Pietermaritzburg Scottsville</t>
  </si>
  <si>
    <t>Alberton City Mall</t>
  </si>
  <si>
    <t>Nelspruit Valley Hyper</t>
  </si>
  <si>
    <t>Tongaat Mall</t>
  </si>
  <si>
    <t>Soweto Protea Glen 22</t>
  </si>
  <si>
    <t>Senekal</t>
  </si>
  <si>
    <t>Hartswater</t>
  </si>
  <si>
    <t>Johannesburg Park</t>
  </si>
  <si>
    <t>King Williams Town Taylor</t>
  </si>
  <si>
    <t>Postmasburg Springbok</t>
  </si>
  <si>
    <t>Thaba Nchu</t>
  </si>
  <si>
    <t>Witbank Emala Mall</t>
  </si>
  <si>
    <t>Tembisa Tembi Mall</t>
  </si>
  <si>
    <t>Durban Overport</t>
  </si>
  <si>
    <t>Pietermaritzburg Midlands Mall</t>
  </si>
  <si>
    <t>Durban Southway Mall</t>
  </si>
  <si>
    <t>Thohoyandou Mutsindo</t>
  </si>
  <si>
    <t>DBN Anton Lembede</t>
  </si>
  <si>
    <t>Hammanskraal Jubilee Mall 58</t>
  </si>
  <si>
    <t>Ladysmith Murchison 160</t>
  </si>
  <si>
    <t>Mabopane Square</t>
  </si>
  <si>
    <t>Embalenhle 72</t>
  </si>
  <si>
    <t>Eldorado Park</t>
  </si>
  <si>
    <t>Witbank Kwa-Guqa 13</t>
  </si>
  <si>
    <t>Johannesburg Jewel City</t>
  </si>
  <si>
    <t>Menlyn Maine Central Square</t>
  </si>
  <si>
    <t>Paarl Mall</t>
  </si>
  <si>
    <t>Wynberg Maynard Mall</t>
  </si>
  <si>
    <t>Heiderand Mall</t>
  </si>
  <si>
    <t>Hermanus</t>
  </si>
  <si>
    <t>Robertson</t>
  </si>
  <si>
    <t>George Thembalethu Square</t>
  </si>
  <si>
    <t>Pinetown Pine Crest Shop 117</t>
  </si>
  <si>
    <t>Daveyton Mall</t>
  </si>
  <si>
    <t>Burgersfort Dirk Winterbach</t>
  </si>
  <si>
    <t>Taung Mall</t>
  </si>
  <si>
    <t>Alexandra Plaza</t>
  </si>
  <si>
    <t>Durban Berea Shopping Centre</t>
  </si>
  <si>
    <t>Tsakane Mall 91</t>
  </si>
  <si>
    <t>Richmond Plaza</t>
  </si>
  <si>
    <t>Soshanguve Batho Plaza</t>
  </si>
  <si>
    <t>Johannesburg Campus Square</t>
  </si>
  <si>
    <t>Polokwane Savannah Mall</t>
  </si>
  <si>
    <t>Barkley West</t>
  </si>
  <si>
    <t>Ladysmith Murchison Mall</t>
  </si>
  <si>
    <t>Moruleng</t>
  </si>
  <si>
    <t>Mafikeng Crossing</t>
  </si>
  <si>
    <t>Vryheid Bloemnel Shopping Centre</t>
  </si>
  <si>
    <t>New Germany</t>
  </si>
  <si>
    <t>Pietermaritzburg Brookside Mall</t>
  </si>
  <si>
    <t>Heidelberg Mall</t>
  </si>
  <si>
    <t>Ermelo Church</t>
  </si>
  <si>
    <t>Dundee</t>
  </si>
  <si>
    <t>Ulundi Ithala</t>
  </si>
  <si>
    <t>Alberton Promenade</t>
  </si>
  <si>
    <t>Durban City View Centre</t>
  </si>
  <si>
    <t>Umzimkulu Mall</t>
  </si>
  <si>
    <t>Polokwane Schoeman A</t>
  </si>
  <si>
    <t>Ermelo Mall</t>
  </si>
  <si>
    <t>Jane Furse Plaza 48</t>
  </si>
  <si>
    <t>Empangeni Five Ways</t>
  </si>
  <si>
    <t>Atteridgeville Atlyn</t>
  </si>
  <si>
    <t>Westonaria Forbes</t>
  </si>
  <si>
    <t>Verulam Wick</t>
  </si>
  <si>
    <t>Engcobo High 206</t>
  </si>
  <si>
    <t>Umhlanga Cornubia Mall</t>
  </si>
  <si>
    <t>Matoks</t>
  </si>
  <si>
    <t>Daveyton Sesfikile Square</t>
  </si>
  <si>
    <t>Y8NZT00001484</t>
  </si>
  <si>
    <t>40595| 40594</t>
  </si>
  <si>
    <t>0129</t>
  </si>
  <si>
    <t>Y8NZT00001485| Y8NZT00001629</t>
  </si>
  <si>
    <t>40586| 40589| 40590| 40591| 40592| 40596|40597</t>
  </si>
  <si>
    <t>2348| 0126</t>
  </si>
  <si>
    <t>Y8NZT00001486</t>
  </si>
  <si>
    <t>40588| 40587</t>
  </si>
  <si>
    <t>0122</t>
  </si>
  <si>
    <t>40593| 40583| 40585| 40584</t>
  </si>
  <si>
    <t>Y8NZT00001487</t>
  </si>
  <si>
    <t>Y8NZT00001587</t>
  </si>
  <si>
    <t>Y8NZT00001488</t>
  </si>
  <si>
    <t>40578|40579</t>
  </si>
  <si>
    <t>Y8NZT00001489</t>
  </si>
  <si>
    <t>Y8NZT00001589</t>
  </si>
  <si>
    <t>40577| 40580| 40581| 40582</t>
  </si>
  <si>
    <t>Y8NZT00001490</t>
  </si>
  <si>
    <t>40576| 40575</t>
  </si>
  <si>
    <t>Y8NZT00001492</t>
  </si>
  <si>
    <t>Y8NZT00001494</t>
  </si>
  <si>
    <t>Y8NZT00001493</t>
  </si>
  <si>
    <t>Y8NZT00001497</t>
  </si>
  <si>
    <t>40564| 40563</t>
  </si>
  <si>
    <t>Y8NZT00001593</t>
  </si>
  <si>
    <t>40560| 40561| 40562| 40520</t>
  </si>
  <si>
    <t>40526| 40525</t>
  </si>
  <si>
    <t>40512| 40511</t>
  </si>
  <si>
    <t>Y8NZT00001498</t>
  </si>
  <si>
    <t>Y8NZT00001598</t>
  </si>
  <si>
    <t>40530| 40533| 40508| 40510</t>
  </si>
  <si>
    <t>Y8NZT00001500</t>
  </si>
  <si>
    <t>40515| 40513| 40516| 40514</t>
  </si>
  <si>
    <t>Y8NZT00001501</t>
  </si>
  <si>
    <t>40506| 40598| 40531| 40501</t>
  </si>
  <si>
    <t>Y8NZT00001502</t>
  </si>
  <si>
    <t>40599| 40502| 40600| 40504</t>
  </si>
  <si>
    <t>0128</t>
  </si>
  <si>
    <t>Y8NZT00001504</t>
  </si>
  <si>
    <t xml:space="preserve">40673| 40669| 40667  </t>
  </si>
  <si>
    <t>Y8NZT00001515| Y8NZT00001491| Y8NZT00001514</t>
  </si>
  <si>
    <t>40573| 40574| 40569| 40570| 40571| 40572| 40565| 40566| 40567| 40568</t>
  </si>
  <si>
    <t>2351| 2360| 2362</t>
  </si>
  <si>
    <t>Y8NZT00001495| Y8NZT00001516</t>
  </si>
  <si>
    <t>40527| 40528| 40518| 40549| 40524| 40523</t>
  </si>
  <si>
    <t>2358| 2359</t>
  </si>
  <si>
    <t>Y8NZT00001517| Y8NZT00001496</t>
  </si>
  <si>
    <t>40517| 40519| 40521| 40522| 40529</t>
  </si>
  <si>
    <t>2363| 2355</t>
  </si>
  <si>
    <t>Y8NZT00001518| Y8NZT00001499</t>
  </si>
  <si>
    <t>40534| 40505|40507| 40509| 40532</t>
  </si>
  <si>
    <t>2367| 2366</t>
  </si>
  <si>
    <t>Y8NZT00001519| Y8NZT00001503</t>
  </si>
  <si>
    <t xml:space="preserve">40670| 40503| 40671| 40668| 40672  </t>
  </si>
  <si>
    <t>0131| 0130</t>
  </si>
  <si>
    <t>Y8NZT00001506</t>
  </si>
  <si>
    <t xml:space="preserve">40664| 40663  </t>
  </si>
  <si>
    <t>Y8NZT00001505</t>
  </si>
  <si>
    <t xml:space="preserve">40665| 40666  </t>
  </si>
  <si>
    <t>Y8NZT00001507</t>
  </si>
  <si>
    <t>Y8NZT00001508</t>
  </si>
  <si>
    <t xml:space="preserve">40651| 40660| 40659  </t>
  </si>
  <si>
    <t>Y8NZT00001509</t>
  </si>
  <si>
    <t xml:space="preserve">40656| 40652  </t>
  </si>
  <si>
    <t>Y8NZT00001510</t>
  </si>
  <si>
    <t xml:space="preserve">40653| 40654| 40658 </t>
  </si>
  <si>
    <t>Y8NZT00001511</t>
  </si>
  <si>
    <t>40550|40546| 40539| 40544</t>
  </si>
  <si>
    <t>Y8NZT00001520| Y8NZT00001512</t>
  </si>
  <si>
    <t xml:space="preserve">40538| 40657| 40536| 40655| 40545| 40537| 40661  </t>
  </si>
  <si>
    <t>1644| 1643</t>
  </si>
  <si>
    <t>Y8NZT00001513</t>
  </si>
  <si>
    <t>40535| 40547| 40541| 40540</t>
  </si>
  <si>
    <t>Y8NZT00001521</t>
  </si>
  <si>
    <t>40542| 40543| 40548</t>
  </si>
  <si>
    <t>Y8NZT00001522| Y8NZT00001523</t>
  </si>
  <si>
    <t xml:space="preserve">40695| 40694| 40693| 40689| 40690  </t>
  </si>
  <si>
    <t>1647|1462</t>
  </si>
  <si>
    <t>Y8NZT00001524| Y8NZT00001525</t>
  </si>
  <si>
    <t>40685| 40683| 40684| 40679| 40688| 40682| 40681</t>
  </si>
  <si>
    <t>1463| 1464</t>
  </si>
  <si>
    <t>Y8NZT00001526</t>
  </si>
  <si>
    <t xml:space="preserve">40680| 40676  </t>
  </si>
  <si>
    <t>Y8NZT00001527</t>
  </si>
  <si>
    <t xml:space="preserve">40691| 40692  </t>
  </si>
  <si>
    <t>Y8NZT00001528| Y8NZT00001529</t>
  </si>
  <si>
    <t xml:space="preserve">40674| 40675| 40677| 40678| 40686| 40687    </t>
  </si>
  <si>
    <t>1467| 1468</t>
  </si>
  <si>
    <t>Y8NZT00001530</t>
  </si>
  <si>
    <t>40749| 40750| 40748| 40731</t>
  </si>
  <si>
    <t>Y8NZT00001531</t>
  </si>
  <si>
    <t xml:space="preserve">40721| 40713| 40724| 40725  </t>
  </si>
  <si>
    <t>Y8NZT00001532</t>
  </si>
  <si>
    <t xml:space="preserve">40726| 40729| 40727| 40728     </t>
  </si>
  <si>
    <t>Y8NZT00001533</t>
  </si>
  <si>
    <t>Y8NZT00001534</t>
  </si>
  <si>
    <t>Y8NZT00001554</t>
  </si>
  <si>
    <t>Y8NZT00001544</t>
  </si>
  <si>
    <t xml:space="preserve">40714| 40715| 40720  </t>
  </si>
  <si>
    <t>Y8NZT00001535</t>
  </si>
  <si>
    <t xml:space="preserve">40723| 40718  </t>
  </si>
  <si>
    <t>Y8NZT00001536| Y8NZT00001537</t>
  </si>
  <si>
    <t xml:space="preserve">40711| 40719| 40717| 40709| 40710  </t>
  </si>
  <si>
    <t>1476| 1477</t>
  </si>
  <si>
    <t>Y8NZT00001538</t>
  </si>
  <si>
    <t xml:space="preserve">40712| 40716  </t>
  </si>
  <si>
    <t>Y8NZT00001630</t>
  </si>
  <si>
    <t xml:space="preserve">40701| 40700| 40705| 40706    </t>
  </si>
  <si>
    <t>Y8NZT00001539</t>
  </si>
  <si>
    <t xml:space="preserve">40702| 40708  </t>
  </si>
  <si>
    <t>Y8NZT00001540</t>
  </si>
  <si>
    <t xml:space="preserve">40703| 40707  </t>
  </si>
  <si>
    <t>Y8NZT00001541</t>
  </si>
  <si>
    <t xml:space="preserve">40698| 40704| 40699  </t>
  </si>
  <si>
    <t xml:space="preserve">40763| 40767| 40768  </t>
  </si>
  <si>
    <t>Y8NZT00001545</t>
  </si>
  <si>
    <t xml:space="preserve">40769| 40762| 40759  </t>
  </si>
  <si>
    <t>Y8NZT00001546| Y8NZT00001547</t>
  </si>
  <si>
    <t xml:space="preserve">40757| 40764| 40760| 40751| 40765  </t>
  </si>
  <si>
    <t>2373| 2374</t>
  </si>
  <si>
    <t xml:space="preserve">40761| 40741| 40754    </t>
  </si>
  <si>
    <t>Y8NZT00001549</t>
  </si>
  <si>
    <t>Y8NZT00001548</t>
  </si>
  <si>
    <t xml:space="preserve">40758| 40755| 40743   </t>
  </si>
  <si>
    <t>Y8NZT00001550| Y8NZT00001551</t>
  </si>
  <si>
    <t xml:space="preserve">40736| 40742| 40752| 40753| 40756  </t>
  </si>
  <si>
    <t>2377| 2378</t>
  </si>
  <si>
    <t>Y8NZT00001552</t>
  </si>
  <si>
    <t xml:space="preserve">40739| 40746| 40735  </t>
  </si>
  <si>
    <t>Y8NZT00001553</t>
  </si>
  <si>
    <t xml:space="preserve">40733| 40734  </t>
  </si>
  <si>
    <t xml:space="preserve">40738| 40737  </t>
  </si>
  <si>
    <t>Y8NZT00001555| Y8NZT00001556| Y8NZT00001557</t>
  </si>
  <si>
    <t xml:space="preserve">40809|40807| 40799| 40802| 40798| 40800| 40806| 40801| 40808     </t>
  </si>
  <si>
    <t>2382| 2383| 2385</t>
  </si>
  <si>
    <t>Y8NZT00001558</t>
  </si>
  <si>
    <t xml:space="preserve">40740| 40745| 40747    </t>
  </si>
  <si>
    <t>Y8NZT00001559</t>
  </si>
  <si>
    <t xml:space="preserve">40730| 40732| 40744| 40796   </t>
  </si>
  <si>
    <t>Y8NZT00001561| Y8NZT00001562</t>
  </si>
  <si>
    <t xml:space="preserve">40791| 40804| 40797| 40805| 40803| 40790| 40788    </t>
  </si>
  <si>
    <t>2387| 2388</t>
  </si>
  <si>
    <t>Y8NZT00001564</t>
  </si>
  <si>
    <t xml:space="preserve">40787| 40786  </t>
  </si>
  <si>
    <t>Y8NZT00001565</t>
  </si>
  <si>
    <t xml:space="preserve">40792| 40775| 40776   </t>
  </si>
  <si>
    <t>Y8NZT00001566| Y8NZT00001567</t>
  </si>
  <si>
    <t xml:space="preserve">40789| 40785| 40784| 40778| 40793  </t>
  </si>
  <si>
    <t>2393| 2394</t>
  </si>
  <si>
    <t>Y8NZT00001568</t>
  </si>
  <si>
    <t xml:space="preserve">40781| 40777| 40772| 40770  </t>
  </si>
  <si>
    <t>Y8NZT00001569</t>
  </si>
  <si>
    <t>Y8NZT00001570</t>
  </si>
  <si>
    <t>0206159| 0206163| 0206164| 0206165| 0206166</t>
  </si>
  <si>
    <t>Y8NZT00001571</t>
  </si>
  <si>
    <t>0206160| 0206161| 0206162</t>
  </si>
  <si>
    <t>000163274</t>
  </si>
  <si>
    <t>Y8NZT00001572</t>
  </si>
  <si>
    <t>Y8NZT00001573</t>
  </si>
  <si>
    <t xml:space="preserve">40773| 40779  </t>
  </si>
  <si>
    <t>Y8NZT00001574</t>
  </si>
  <si>
    <t>Y8NZT00001575</t>
  </si>
  <si>
    <t>40834| 40839</t>
  </si>
  <si>
    <t>Y8NZT00001576</t>
  </si>
  <si>
    <t xml:space="preserve">40913| 40838  </t>
  </si>
  <si>
    <t>Y8NZT00001577</t>
  </si>
  <si>
    <t xml:space="preserve">40841| 40835| 40837  </t>
  </si>
  <si>
    <t>Y8NZT00001578</t>
  </si>
  <si>
    <t>Y8NZT00001580</t>
  </si>
  <si>
    <t xml:space="preserve">40842| 40830  </t>
  </si>
  <si>
    <t>Y8NZT00001583</t>
  </si>
  <si>
    <t xml:space="preserve">40847| 40820| 40818| 40831    </t>
  </si>
  <si>
    <t>Y8NZT00001582</t>
  </si>
  <si>
    <t xml:space="preserve">40833| 40824| 40822  </t>
  </si>
  <si>
    <t>Y8NZT00001584| Y8NZT00001585| Y8NZT00001586</t>
  </si>
  <si>
    <t xml:space="preserve">40846| 40850| 40821| 40819 | 40812| 40810| 40815| 40829| 40828| 40823| 40811  </t>
  </si>
  <si>
    <t>2411| 2412| 2413</t>
  </si>
  <si>
    <t>Y8NZT00001588</t>
  </si>
  <si>
    <t xml:space="preserve">40813| 40814| 40848  </t>
  </si>
  <si>
    <t>Y8NZT00001590</t>
  </si>
  <si>
    <t xml:space="preserve">40946| 40948  </t>
  </si>
  <si>
    <t>Y8NZT00001591</t>
  </si>
  <si>
    <t xml:space="preserve">40939| 40950| 40949    </t>
  </si>
  <si>
    <t>Y8NZT00001592</t>
  </si>
  <si>
    <t>Y8NZT00001594</t>
  </si>
  <si>
    <t xml:space="preserve">40937| 40938  </t>
  </si>
  <si>
    <t xml:space="preserve">40936| 40935| 40934|40933  </t>
  </si>
  <si>
    <t xml:space="preserve">40940| 40926  </t>
  </si>
  <si>
    <t>Y8NZT00001595</t>
  </si>
  <si>
    <t xml:space="preserve">40931| 40932  </t>
  </si>
  <si>
    <t>Y8NZT00001596</t>
  </si>
  <si>
    <t xml:space="preserve">40922| 40927| 40928    </t>
  </si>
  <si>
    <t>Y8NZT00001597</t>
  </si>
  <si>
    <t xml:space="preserve">40929| 40930| 40923    </t>
  </si>
  <si>
    <t xml:space="preserve">40924| 40925  </t>
  </si>
  <si>
    <t>Y8NZT00001599</t>
  </si>
  <si>
    <t xml:space="preserve">40918| 40914| 40912  </t>
  </si>
  <si>
    <t>Y8NZT00001600</t>
  </si>
  <si>
    <t xml:space="preserve">40840| 40844| 40845| 40843  </t>
  </si>
  <si>
    <t>Y8NZT00001601</t>
  </si>
  <si>
    <t xml:space="preserve">40919| 40911  </t>
  </si>
  <si>
    <t>Y8NZT00001602</t>
  </si>
  <si>
    <t xml:space="preserve">40917| 40916| 40915  </t>
  </si>
  <si>
    <t>Y8NZT00001603</t>
  </si>
  <si>
    <t xml:space="preserve">40920| 40921  </t>
  </si>
  <si>
    <t>Y8NZT00001604</t>
  </si>
  <si>
    <t xml:space="preserve">40889| 40888| 40890| 40873  </t>
  </si>
  <si>
    <t>Y8NZT00001605</t>
  </si>
  <si>
    <t xml:space="preserve">40871| 40872| 40877  </t>
  </si>
  <si>
    <t>Y8NZT00001606</t>
  </si>
  <si>
    <t xml:space="preserve">40875| 40876  </t>
  </si>
  <si>
    <t>Y8NZT00001607</t>
  </si>
  <si>
    <t xml:space="preserve">40863| 40862| 40861| 40864  </t>
  </si>
  <si>
    <t>Y8NZT00001608</t>
  </si>
  <si>
    <t xml:space="preserve">40874| 40878| 40879| 40880  </t>
  </si>
  <si>
    <t>Y8NZT00001609</t>
  </si>
  <si>
    <t xml:space="preserve">40856| 40944| 40852| 40851  </t>
  </si>
  <si>
    <t>Y8NZT00001610</t>
  </si>
  <si>
    <t xml:space="preserve">40854| 40855  </t>
  </si>
  <si>
    <t>Y8NZT00001611</t>
  </si>
  <si>
    <t xml:space="preserve">40865| 40853  </t>
  </si>
  <si>
    <t>Y8NZT00001612</t>
  </si>
  <si>
    <t xml:space="preserve">40870| 40869| 40868| 40867  </t>
  </si>
  <si>
    <t>Y8NZT00001613</t>
  </si>
  <si>
    <t>Y8NZT00001614</t>
  </si>
  <si>
    <t xml:space="preserve">40945| 40943| 40942  </t>
  </si>
  <si>
    <t xml:space="preserve">40866| 40860| 40941  </t>
  </si>
  <si>
    <t>Y8NZT00001615</t>
  </si>
  <si>
    <t xml:space="preserve">40859| 40858| 40857  </t>
  </si>
  <si>
    <t>Y8NZT00001616| Y8NZT00001617| Y8NZT00001618</t>
  </si>
  <si>
    <t xml:space="preserve">40951| 40952| 40906| 40953| 40907| 40902| 40905| 40903| 40904| 40910| 40909| 40908  </t>
  </si>
  <si>
    <t>4441| 2443| 4442</t>
  </si>
  <si>
    <t>Y8NZT00001619</t>
  </si>
  <si>
    <t xml:space="preserve">40891| 40894  </t>
  </si>
  <si>
    <t>Y8NZT00001620</t>
  </si>
  <si>
    <t>Y8NZT00001623</t>
  </si>
  <si>
    <t xml:space="preserve">40898| 40899| 40900  </t>
  </si>
  <si>
    <t>Y8NZT00001621</t>
  </si>
  <si>
    <t xml:space="preserve">40883| 40896| 40892| 40901  </t>
  </si>
  <si>
    <t>Y8NZT00001622</t>
  </si>
  <si>
    <t xml:space="preserve">40881| 40882| 40897  </t>
  </si>
  <si>
    <t xml:space="preserve">40895| 40887  </t>
  </si>
  <si>
    <t>Y8NZT00001624</t>
  </si>
  <si>
    <t xml:space="preserve">40884| 40885| 40886| 40893  </t>
  </si>
  <si>
    <t>Y8NZT00001628</t>
  </si>
  <si>
    <t xml:space="preserve">40957| 40958  </t>
  </si>
  <si>
    <t>Y8NZT00001625</t>
  </si>
  <si>
    <t xml:space="preserve">40955| 40961  </t>
  </si>
  <si>
    <t>Y8NZT00001626</t>
  </si>
  <si>
    <t xml:space="preserve">40956| 40954  </t>
  </si>
  <si>
    <t>Y8NZT00001627</t>
  </si>
  <si>
    <t xml:space="preserve">40959| 40960  </t>
  </si>
  <si>
    <t>Y8NZT00001579</t>
  </si>
  <si>
    <t>0206155| 0206156| 0206157| 0206158</t>
  </si>
  <si>
    <t>Y8NZT00001636</t>
  </si>
  <si>
    <t xml:space="preserve">40783| 40782  </t>
  </si>
  <si>
    <t>Y8NZT00001581</t>
  </si>
  <si>
    <t xml:space="preserve">40832| 40826| 40825  </t>
  </si>
  <si>
    <t>Y8NZT00001542| Y8NZT00001543</t>
  </si>
  <si>
    <t xml:space="preserve">40697| 40696| 40794| 40766| 40795  </t>
  </si>
  <si>
    <t>1475| 1637</t>
  </si>
  <si>
    <t xml:space="preserve">40816| 40817| 40849| 40827   </t>
  </si>
  <si>
    <t>14/07/2026</t>
  </si>
  <si>
    <t>PE Motherwell 31</t>
  </si>
  <si>
    <t>Cape Town Parliament</t>
  </si>
  <si>
    <t>Ceres Vos</t>
  </si>
  <si>
    <t>Y8NZT00001633</t>
  </si>
  <si>
    <t xml:space="preserve">40962| 40963| 40964  </t>
  </si>
  <si>
    <t>Y8NZT00001634</t>
  </si>
  <si>
    <t xml:space="preserve">40965| 40966  </t>
  </si>
  <si>
    <t>Y8NZT00001635</t>
  </si>
  <si>
    <t>0206167| 0206168| 0206169| 0206170| 0206171</t>
  </si>
  <si>
    <t>15/07/2026</t>
  </si>
  <si>
    <t>Mini-Stellenbosch Ikhaya</t>
  </si>
  <si>
    <t>Clanwilliam Cedar Mill</t>
  </si>
  <si>
    <t>0206172| 0206173| 0206174</t>
  </si>
  <si>
    <t>000163275</t>
  </si>
  <si>
    <t>Y8NZT00001637</t>
  </si>
  <si>
    <t>0206177</t>
  </si>
  <si>
    <t>000163240</t>
  </si>
  <si>
    <t>Y8NZT00001638</t>
  </si>
  <si>
    <t>0206175| 0206176</t>
  </si>
  <si>
    <t>000163241</t>
  </si>
  <si>
    <t>16/07/2026</t>
  </si>
  <si>
    <t>Somerset West Waterstone Village</t>
  </si>
  <si>
    <t>Y8NZT00001639</t>
  </si>
  <si>
    <t>0206178</t>
  </si>
  <si>
    <t>000163278</t>
  </si>
  <si>
    <t>Y8NZT00001640</t>
  </si>
  <si>
    <t xml:space="preserve">40967| 40968  </t>
  </si>
  <si>
    <t>Y8NZT00001641</t>
  </si>
  <si>
    <t xml:space="preserve">40969| 40970| 40971   </t>
  </si>
  <si>
    <t>2324</t>
  </si>
  <si>
    <t>2323</t>
  </si>
  <si>
    <t>Order_no</t>
  </si>
  <si>
    <t>Number_of_Batches</t>
  </si>
  <si>
    <t>Waybill_Number</t>
  </si>
  <si>
    <t>Batch_Number</t>
  </si>
  <si>
    <t>BagNumber</t>
  </si>
  <si>
    <t>17/07/2026</t>
  </si>
  <si>
    <t>Brackenfell Okavango Crossing</t>
  </si>
  <si>
    <t>Y8NZT00001642</t>
  </si>
  <si>
    <t>0206179</t>
  </si>
  <si>
    <t>000163282</t>
  </si>
  <si>
    <t>Y8NZT00001643</t>
  </si>
  <si>
    <t xml:space="preserve">40973| 40972  </t>
  </si>
  <si>
    <t>2325</t>
  </si>
  <si>
    <t>20/07/2026</t>
  </si>
  <si>
    <t>Oudtshoorn</t>
  </si>
  <si>
    <t>George Boulevard Centre</t>
  </si>
  <si>
    <t>Kraaifontein Voortrekker</t>
  </si>
  <si>
    <t>Robertson Quarter</t>
  </si>
  <si>
    <t>Gugulethu Square Shop 66</t>
  </si>
  <si>
    <t>Mitchells Plain Station</t>
  </si>
  <si>
    <t>Y8NZT00001647</t>
  </si>
  <si>
    <t>0206188| 0206189| 0206190</t>
  </si>
  <si>
    <t>000163286</t>
  </si>
  <si>
    <t>Y8NZT00001648</t>
  </si>
  <si>
    <t xml:space="preserve">40984| 40985| 40986    </t>
  </si>
  <si>
    <t>2262</t>
  </si>
  <si>
    <t>Y8NZT00001649</t>
  </si>
  <si>
    <t xml:space="preserve">40981| 40982| 40983| 40977 </t>
  </si>
  <si>
    <t>2263</t>
  </si>
  <si>
    <t>2266</t>
  </si>
  <si>
    <t>2265</t>
  </si>
  <si>
    <t>Y8NZT00001651</t>
  </si>
  <si>
    <t>Y8NZT00001650</t>
  </si>
  <si>
    <t xml:space="preserve">40975| 40976  </t>
  </si>
  <si>
    <t>2264</t>
  </si>
  <si>
    <t>Y8NZT00001652</t>
  </si>
  <si>
    <t>2261</t>
  </si>
  <si>
    <t>Y8NZT00001653</t>
  </si>
  <si>
    <t>0206184| 0206185| 0206186| 0206187</t>
  </si>
  <si>
    <t>Y8NZT00001654</t>
  </si>
  <si>
    <t>0206191</t>
  </si>
  <si>
    <t>000163907</t>
  </si>
  <si>
    <t>Y8NZT00001655</t>
  </si>
  <si>
    <t>0206180| 0206181| 0206182| 0206183</t>
  </si>
  <si>
    <t>2258</t>
  </si>
  <si>
    <t>Y8NZT00001656</t>
  </si>
  <si>
    <t>2259</t>
  </si>
  <si>
    <t>Y8NZT00001657</t>
  </si>
  <si>
    <t>2260</t>
  </si>
  <si>
    <t>Y8NZT00001658</t>
  </si>
  <si>
    <t>2267</t>
  </si>
  <si>
    <t>21/07/2026</t>
  </si>
  <si>
    <t>Goodwood N1 City</t>
  </si>
  <si>
    <t>Cape Town St Georges Mall</t>
  </si>
  <si>
    <t>Langebaan Nautica</t>
  </si>
  <si>
    <t>Khayelitsha Nonqubela</t>
  </si>
  <si>
    <t>Athlone Vangate Mall 52</t>
  </si>
  <si>
    <t>Y8NZT00001659</t>
  </si>
  <si>
    <t>2273</t>
  </si>
  <si>
    <t>Y8NZT00001660</t>
  </si>
  <si>
    <t>226168| 226169| 226170</t>
  </si>
  <si>
    <t>000163903</t>
  </si>
  <si>
    <t>Y8NZT00001661</t>
  </si>
  <si>
    <t xml:space="preserve">40995| 40996  </t>
  </si>
  <si>
    <t>2268</t>
  </si>
  <si>
    <t>Y8NZT00001662</t>
  </si>
  <si>
    <t>2274</t>
  </si>
  <si>
    <t>Y8NZT00001663</t>
  </si>
  <si>
    <t>2271</t>
  </si>
  <si>
    <t>2272</t>
  </si>
  <si>
    <t>Y8NZT00001664</t>
  </si>
  <si>
    <t>226166| 226167</t>
  </si>
  <si>
    <t>000163904</t>
  </si>
  <si>
    <t>Y8NZT00001665</t>
  </si>
  <si>
    <t>226164| 226165</t>
  </si>
  <si>
    <t>000163906</t>
  </si>
  <si>
    <t>Y8NZT00001666</t>
  </si>
  <si>
    <t>000163905</t>
  </si>
  <si>
    <t>Y8NZT00001667</t>
  </si>
  <si>
    <t xml:space="preserve">40992| 40993  </t>
  </si>
  <si>
    <t>Y8NZT00001668</t>
  </si>
  <si>
    <t xml:space="preserve">40989| 40990  </t>
  </si>
  <si>
    <t>2270</t>
  </si>
  <si>
    <t>Y8NZT00001669</t>
  </si>
  <si>
    <t xml:space="preserve">40994| 40988  </t>
  </si>
  <si>
    <t>2269</t>
  </si>
  <si>
    <t>Y8NZT00001670</t>
  </si>
  <si>
    <t>0206192| 0206193| 0206194</t>
  </si>
  <si>
    <t>000163902</t>
  </si>
  <si>
    <t>Port Elizabeth Cleary Park</t>
  </si>
  <si>
    <t>Beaufort West</t>
  </si>
  <si>
    <t>Worcester High 60</t>
  </si>
  <si>
    <t>Delft Mall</t>
  </si>
  <si>
    <t>Y8NZT00001671</t>
  </si>
  <si>
    <t xml:space="preserve">41010| 41009  </t>
  </si>
  <si>
    <t>2279</t>
  </si>
  <si>
    <t>Y8NZT00001672</t>
  </si>
  <si>
    <t>Y8NZT00001673</t>
  </si>
  <si>
    <t>Y8NZT00001674</t>
  </si>
  <si>
    <t xml:space="preserve">41004| 41003  </t>
  </si>
  <si>
    <t>2280</t>
  </si>
  <si>
    <t xml:space="preserve">41008| 41007  </t>
  </si>
  <si>
    <t>2277</t>
  </si>
  <si>
    <t>2276</t>
  </si>
  <si>
    <t>Y8NZT00001675</t>
  </si>
  <si>
    <t>226177| 226176| 226175</t>
  </si>
  <si>
    <t>000163899</t>
  </si>
  <si>
    <t>Y8NZT00001676</t>
  </si>
  <si>
    <t>226171| 226172| 226173| 226174</t>
  </si>
  <si>
    <t>2275</t>
  </si>
  <si>
    <t>Y8NZT00001677</t>
  </si>
  <si>
    <t xml:space="preserve">41000| 41012| 41011  </t>
  </si>
  <si>
    <t>2281</t>
  </si>
  <si>
    <t>Y8NZT00001678</t>
  </si>
  <si>
    <t xml:space="preserve">41006| 41001| 41002| 40999      </t>
  </si>
  <si>
    <t>2278</t>
  </si>
  <si>
    <t>Request for the Movement of Capitec Debit Cards from the Vault – Preparation in progress.</t>
  </si>
  <si>
    <t>C-Connect 20 July 2026</t>
  </si>
  <si>
    <t>23/07/2026</t>
  </si>
  <si>
    <t>PE Booysens Park Shopping Centre</t>
  </si>
  <si>
    <t>Khayelitsha KBD Shop 16</t>
  </si>
  <si>
    <t>Pinelands</t>
  </si>
  <si>
    <t>Y8NZT00001679</t>
  </si>
  <si>
    <t xml:space="preserve">41015| 41016  </t>
  </si>
  <si>
    <t>2283</t>
  </si>
  <si>
    <t>Y8NZT00001680</t>
  </si>
  <si>
    <t xml:space="preserve">41013| 41014    </t>
  </si>
  <si>
    <t>2282</t>
  </si>
  <si>
    <t>Y8NZT00001681</t>
  </si>
  <si>
    <t>226178| 226179</t>
  </si>
  <si>
    <t>000163900</t>
  </si>
  <si>
    <t>24/07/2026</t>
  </si>
  <si>
    <t>Port Elizabeth Ziyabuya</t>
  </si>
  <si>
    <t>Table View Table Bay Mall</t>
  </si>
  <si>
    <t>PE Motherwell N20A</t>
  </si>
  <si>
    <t>Y8NZT00001683</t>
  </si>
  <si>
    <t>Y8NZT00001682</t>
  </si>
  <si>
    <t>226180| 226181| 226182</t>
  </si>
  <si>
    <t>000163934</t>
  </si>
  <si>
    <t>Y8NZT00001684</t>
  </si>
  <si>
    <t xml:space="preserve">41020| 41022| 41021  </t>
  </si>
  <si>
    <t>2287</t>
  </si>
  <si>
    <t xml:space="preserve">41017| 41018| 41019  </t>
  </si>
  <si>
    <t>2284</t>
  </si>
  <si>
    <t>Y8NZT00001685</t>
  </si>
  <si>
    <t xml:space="preserve">41023| 41024  </t>
  </si>
  <si>
    <t>2285</t>
  </si>
  <si>
    <t>Y8NZT00001686</t>
  </si>
  <si>
    <t>2288</t>
  </si>
  <si>
    <t>226183| 226184</t>
  </si>
  <si>
    <t>000163936</t>
  </si>
  <si>
    <t>Y8NZT00001687</t>
  </si>
  <si>
    <t>Y8NZT00001688</t>
  </si>
  <si>
    <t>41026| 41027| 41028</t>
  </si>
  <si>
    <t>2286</t>
  </si>
  <si>
    <t>27/07/2026</t>
  </si>
  <si>
    <t>Bellville Station</t>
  </si>
  <si>
    <t>Gugulethu Square Shop 33</t>
  </si>
  <si>
    <t>Cape Town Golden Acre</t>
  </si>
  <si>
    <t>Tokai Centre</t>
  </si>
  <si>
    <t>Stellenbosch Stelmark</t>
  </si>
  <si>
    <t>Woodstock</t>
  </si>
  <si>
    <t>Y8NZT00001689</t>
  </si>
  <si>
    <t>0226228| 0226229| 0226230| 0226231</t>
  </si>
  <si>
    <t>2304</t>
  </si>
  <si>
    <t>Y8NZT00001690</t>
  </si>
  <si>
    <t xml:space="preserve">41073| 41074  </t>
  </si>
  <si>
    <t>2300</t>
  </si>
  <si>
    <t>Y8NZT00001691</t>
  </si>
  <si>
    <t>226223| 0226227| 226218| 226224| 226225| 226226</t>
  </si>
  <si>
    <t>2308</t>
  </si>
  <si>
    <t>Y8NZT00001693</t>
  </si>
  <si>
    <t>226213| 226219| 226220| 226221| 226222</t>
  </si>
  <si>
    <t>2302</t>
  </si>
  <si>
    <t>Y8NZT00001694</t>
  </si>
  <si>
    <t xml:space="preserve">41070| 41052| 41051    </t>
  </si>
  <si>
    <t>2309</t>
  </si>
  <si>
    <t>Y8NZT00001695</t>
  </si>
  <si>
    <t xml:space="preserve">41071| 41069  </t>
  </si>
  <si>
    <t>2307</t>
  </si>
  <si>
    <t>Y8NZT00001696</t>
  </si>
  <si>
    <t>226214| 226215</t>
  </si>
  <si>
    <t>000163930</t>
  </si>
  <si>
    <t>Y8NZT00001697</t>
  </si>
  <si>
    <t xml:space="preserve">41054| 41063| 41064  </t>
  </si>
  <si>
    <t>2305</t>
  </si>
  <si>
    <t>Y8NZT00001698</t>
  </si>
  <si>
    <t>2310</t>
  </si>
  <si>
    <t>Y8NZT00001699</t>
  </si>
  <si>
    <t>Y8NZT00001700</t>
  </si>
  <si>
    <t>226216| 226217</t>
  </si>
  <si>
    <t>000163932</t>
  </si>
  <si>
    <t>Y8NZT00001701</t>
  </si>
  <si>
    <t>2306</t>
  </si>
  <si>
    <t>Y8NZT00001702</t>
  </si>
  <si>
    <t>226185| 226186| 226187</t>
  </si>
  <si>
    <t>000163929</t>
  </si>
  <si>
    <t>Y8NZT00001703</t>
  </si>
  <si>
    <t>Y8NZT00001704</t>
  </si>
  <si>
    <t>Y8NZT00001706</t>
  </si>
  <si>
    <t>Y8NZT00001707</t>
  </si>
  <si>
    <t>226188| 226189| 226190</t>
  </si>
  <si>
    <t>000163931</t>
  </si>
  <si>
    <t>41062| 41061| 41055</t>
  </si>
  <si>
    <t>2314</t>
  </si>
  <si>
    <t>2311</t>
  </si>
  <si>
    <t>Y8NZT00001705</t>
  </si>
  <si>
    <t xml:space="preserve">41049| 41044  </t>
  </si>
  <si>
    <t>2313</t>
  </si>
  <si>
    <t>226191| 226196| 226197| 226193| 226194| 226195</t>
  </si>
  <si>
    <t>2312</t>
  </si>
  <si>
    <t>Y8NZT00001708</t>
  </si>
  <si>
    <t>2293</t>
  </si>
  <si>
    <t>Y8NZT00001709</t>
  </si>
  <si>
    <t>41045| 41029</t>
  </si>
  <si>
    <t>Y8NZT00001710</t>
  </si>
  <si>
    <t xml:space="preserve">41059| 41056  </t>
  </si>
  <si>
    <t>2292</t>
  </si>
  <si>
    <t>2290</t>
  </si>
  <si>
    <t>Y8NZT00001711</t>
  </si>
  <si>
    <t>226192| 226208| 226210</t>
  </si>
  <si>
    <t>000163239</t>
  </si>
  <si>
    <t>Y8NZT00001712</t>
  </si>
  <si>
    <t>Y8NZT00001714</t>
  </si>
  <si>
    <t>Y8NZT00001717</t>
  </si>
  <si>
    <t>Y8NZT00001713</t>
  </si>
  <si>
    <t>226203| 226204</t>
  </si>
  <si>
    <t>000163935</t>
  </si>
  <si>
    <t xml:space="preserve">41031| 41032| 41033| 41034    </t>
  </si>
  <si>
    <t>2289</t>
  </si>
  <si>
    <t>2296</t>
  </si>
  <si>
    <t>Y8NZT00001715</t>
  </si>
  <si>
    <t>226209| 226205| 226202| 226201| 226200| 226198| 226199</t>
  </si>
  <si>
    <t>2294</t>
  </si>
  <si>
    <t>Y8NZT00001716</t>
  </si>
  <si>
    <t xml:space="preserve">41058| 41057  </t>
  </si>
  <si>
    <t>2295</t>
  </si>
  <si>
    <t>226206| 226207</t>
  </si>
  <si>
    <t>000163238</t>
  </si>
  <si>
    <t>Y8NZT00001718</t>
  </si>
  <si>
    <t xml:space="preserve">41036| 41040| 41038  </t>
  </si>
  <si>
    <t>2291</t>
  </si>
  <si>
    <t>Y8NZT00001719</t>
  </si>
  <si>
    <t>226211| 226212</t>
  </si>
  <si>
    <t>000163933</t>
  </si>
  <si>
    <t>Y8NZT00001720</t>
  </si>
  <si>
    <t>2297</t>
  </si>
  <si>
    <t>Y8NZT00001721</t>
  </si>
  <si>
    <t xml:space="preserve">41039| 41035  </t>
  </si>
  <si>
    <t>2298</t>
  </si>
  <si>
    <t>Y8NZT00001722| Y8NZT00001692</t>
  </si>
  <si>
    <t xml:space="preserve">41068| 41065| 41072| 41067| 41066    </t>
  </si>
  <si>
    <t>2301| 2303</t>
  </si>
  <si>
    <t>41043| 41041</t>
  </si>
  <si>
    <t xml:space="preserve">41046| 41047| 41048| 41050  </t>
  </si>
  <si>
    <t>2299</t>
  </si>
  <si>
    <t>28/07/2026</t>
  </si>
  <si>
    <t>Umlazi KwaMnyandu 233</t>
  </si>
  <si>
    <t>Palm Ridge Sky City Mall</t>
  </si>
  <si>
    <t>Sebokeng Thabong</t>
  </si>
  <si>
    <t>Delareyville</t>
  </si>
  <si>
    <t>Queenstown Robinson</t>
  </si>
  <si>
    <t>Moletlane Zebediela</t>
  </si>
  <si>
    <t>Rivonia Village</t>
  </si>
  <si>
    <t>Tembisa Yarona</t>
  </si>
  <si>
    <t>Tembisa Birch Acres</t>
  </si>
  <si>
    <t>Matatiele Shopping Centre</t>
  </si>
  <si>
    <t>Tzaneen Crossing</t>
  </si>
  <si>
    <t>Welkom Thabong</t>
  </si>
  <si>
    <t>Pietermaritzburg Capital</t>
  </si>
  <si>
    <t>Uitenhage Mall</t>
  </si>
  <si>
    <t>Middelburg Coetzee</t>
  </si>
  <si>
    <t>Johannesburg Station East</t>
  </si>
  <si>
    <t>Soweto Dobsonville</t>
  </si>
  <si>
    <t>Mount Frere KwaBhaca Mall</t>
  </si>
  <si>
    <t>Bloemfontein Waterfront</t>
  </si>
  <si>
    <t>Nongoma Isizwe</t>
  </si>
  <si>
    <t>Bothaville</t>
  </si>
  <si>
    <t>Klerksdorp City Mall</t>
  </si>
  <si>
    <t>Rustenburg Fatima Bhayat 12</t>
  </si>
  <si>
    <t>Fourways Crossing</t>
  </si>
  <si>
    <t>Mthatha Sutherland</t>
  </si>
  <si>
    <t>Port Elizabeth Greenacres 16</t>
  </si>
  <si>
    <t>Cosmo City Mall 42</t>
  </si>
  <si>
    <t>Bapong</t>
  </si>
  <si>
    <t>KwaMashu Midway Crossing</t>
  </si>
  <si>
    <t>Giyani Masingita Plaza</t>
  </si>
  <si>
    <t>Soweto Dlamini Junction</t>
  </si>
  <si>
    <t>Mall of Tembisa LG33</t>
  </si>
  <si>
    <t>Vosloorus Chris Hani Crossing 75</t>
  </si>
  <si>
    <t>Evaton Mall 37B</t>
  </si>
  <si>
    <t>Mookgophong Naboomspruit Centre</t>
  </si>
  <si>
    <t>Kanyamazane</t>
  </si>
  <si>
    <t>Rebone Steilloop Centre</t>
  </si>
  <si>
    <t>East London Devereux</t>
  </si>
  <si>
    <t>Bedfordview Bedford Centre</t>
  </si>
  <si>
    <t>Middelburg van Riebeeck</t>
  </si>
  <si>
    <t>Secunda Mall</t>
  </si>
  <si>
    <t>Phalaborwa Namakgale</t>
  </si>
  <si>
    <t>East London Southernwood</t>
  </si>
  <si>
    <t>Wadeville</t>
  </si>
  <si>
    <t>Bloemfontein Lemo Mall</t>
  </si>
  <si>
    <t>Vereeniging Markpark</t>
  </si>
  <si>
    <t>Pretoria Gezina Galleries</t>
  </si>
  <si>
    <t>Durban Davenport Square</t>
  </si>
  <si>
    <t>Johannesburg Kerk</t>
  </si>
  <si>
    <t>Burgersfort Morone</t>
  </si>
  <si>
    <t>Kimberley Du Toit</t>
  </si>
  <si>
    <t>Fochville President Square</t>
  </si>
  <si>
    <t>Tembisa Kaalfontein Main</t>
  </si>
  <si>
    <t>Mamelodi Mams Mall 62</t>
  </si>
  <si>
    <t>Chilli Lane Sunninghill</t>
  </si>
  <si>
    <t>Alexandra Yarona</t>
  </si>
  <si>
    <t>Y8NZT00001723</t>
  </si>
  <si>
    <t>Y8NZT00001724</t>
  </si>
  <si>
    <t>Y8NZT00001740</t>
  </si>
  <si>
    <t>Y8NZT00001741</t>
  </si>
  <si>
    <t>Y8NZT00001742</t>
  </si>
  <si>
    <t>Y8NZT00001743</t>
  </si>
  <si>
    <t>Y8NZT00001744</t>
  </si>
  <si>
    <t>41139| 41140| 41099</t>
  </si>
  <si>
    <t>Y8NZT00001754</t>
  </si>
  <si>
    <t>Y8NZT00001734</t>
  </si>
  <si>
    <t>Y8NZT00001794</t>
  </si>
  <si>
    <t>Y8NZT00001764</t>
  </si>
  <si>
    <t xml:space="preserve">41109| 41107  </t>
  </si>
  <si>
    <t>2316</t>
  </si>
  <si>
    <t>2315</t>
  </si>
  <si>
    <t>Y8NZT00001726</t>
  </si>
  <si>
    <t>Y8NZT00001736</t>
  </si>
  <si>
    <t>Y8NZT00001746</t>
  </si>
  <si>
    <t>Y8NZT00001796</t>
  </si>
  <si>
    <t xml:space="preserve">41104| 41101  </t>
  </si>
  <si>
    <t>4538</t>
  </si>
  <si>
    <t>Y8NZT00001728</t>
  </si>
  <si>
    <t>4539</t>
  </si>
  <si>
    <t>4529</t>
  </si>
  <si>
    <t>4519</t>
  </si>
  <si>
    <t>41097| 41102| 41100</t>
  </si>
  <si>
    <t>Y8NZT00001729</t>
  </si>
  <si>
    <t xml:space="preserve">41095| 41096| 41093  </t>
  </si>
  <si>
    <t>4531</t>
  </si>
  <si>
    <t>Y8NZT00001730</t>
  </si>
  <si>
    <t xml:space="preserve">41094| 41098  </t>
  </si>
  <si>
    <t>4534</t>
  </si>
  <si>
    <t>Y8NZT00001731</t>
  </si>
  <si>
    <t>41085| 41088</t>
  </si>
  <si>
    <t>4528</t>
  </si>
  <si>
    <t>Y8NZT00001732</t>
  </si>
  <si>
    <t>Y8NZT00001792</t>
  </si>
  <si>
    <t>Y8NZT00001762</t>
  </si>
  <si>
    <t>41087| 41089| 41090</t>
  </si>
  <si>
    <t>Y8NZT00001733</t>
  </si>
  <si>
    <t xml:space="preserve">41083| 41084  </t>
  </si>
  <si>
    <t>4530</t>
  </si>
  <si>
    <t>41091| 41092</t>
  </si>
  <si>
    <t>4535</t>
  </si>
  <si>
    <t>Y8NZT00001735</t>
  </si>
  <si>
    <t>41086| 41081</t>
  </si>
  <si>
    <t>4457</t>
  </si>
  <si>
    <t>4537</t>
  </si>
  <si>
    <t>4647</t>
  </si>
  <si>
    <t>Y8NZT00001737</t>
  </si>
  <si>
    <t xml:space="preserve">41136| 41133  </t>
  </si>
  <si>
    <t>4527</t>
  </si>
  <si>
    <t>Y8NZT00001738</t>
  </si>
  <si>
    <t>Y8NZT00001748</t>
  </si>
  <si>
    <t>Y8NZT00001798</t>
  </si>
  <si>
    <t xml:space="preserve">41077| 41078| 41075  </t>
  </si>
  <si>
    <t>4520</t>
  </si>
  <si>
    <t>Y8NZT00001739</t>
  </si>
  <si>
    <t>4533</t>
  </si>
  <si>
    <t>41149| 41080| 41076</t>
  </si>
  <si>
    <t>4515</t>
  </si>
  <si>
    <t xml:space="preserve">41148| 41150| 41145 </t>
  </si>
  <si>
    <t>4522</t>
  </si>
  <si>
    <t>4508</t>
  </si>
  <si>
    <t>41144| 41143| 41147</t>
  </si>
  <si>
    <t>Y8NZT00001793</t>
  </si>
  <si>
    <t>Y8NZT00001763</t>
  </si>
  <si>
    <t>41135| 41141| 41142| 41146</t>
  </si>
  <si>
    <t>4526</t>
  </si>
  <si>
    <t>41132| 41131| 41129</t>
  </si>
  <si>
    <t>4525</t>
  </si>
  <si>
    <t>Y8NZT00001745</t>
  </si>
  <si>
    <t>43182| 43180</t>
  </si>
  <si>
    <t>4511</t>
  </si>
  <si>
    <t>41127| 41128| 41125| 41130</t>
  </si>
  <si>
    <t>4524</t>
  </si>
  <si>
    <t>Y8NZT00001747</t>
  </si>
  <si>
    <t xml:space="preserve">41138| 41137| 41134 </t>
  </si>
  <si>
    <t>4532</t>
  </si>
  <si>
    <t>41111| 41119| 41118| 41126</t>
  </si>
  <si>
    <t>Y8NZT00001749| Y8NZT00001750| Y8NZT00001751</t>
  </si>
  <si>
    <t xml:space="preserve">41114| 41112| 41122| 41117| 41113| 41121| 41120| 41116| 41115  </t>
  </si>
  <si>
    <t>Y8NZT00001752</t>
  </si>
  <si>
    <t>43187| 43186| 41123| 41124</t>
  </si>
  <si>
    <t>4516</t>
  </si>
  <si>
    <t>Y8NZT00001753</t>
  </si>
  <si>
    <t xml:space="preserve">43184| 43181  </t>
  </si>
  <si>
    <t>43185| 43183| 43179</t>
  </si>
  <si>
    <t>4510</t>
  </si>
  <si>
    <t>Y8NZT00001755</t>
  </si>
  <si>
    <t>0226232| 0226233| 0226234| 0226235| 0226236| 0226237</t>
  </si>
  <si>
    <t>4513</t>
  </si>
  <si>
    <t>Y8NZT00001756</t>
  </si>
  <si>
    <t xml:space="preserve">43188| 43173  </t>
  </si>
  <si>
    <t>4512</t>
  </si>
  <si>
    <t>Y8NZT00001757| Y8NZT00001758</t>
  </si>
  <si>
    <t>43163| 43164| 43174| 43177| 43178| 43171</t>
  </si>
  <si>
    <t>Y8NZT00001759</t>
  </si>
  <si>
    <t>43172| 43169| 43170</t>
  </si>
  <si>
    <t>4494</t>
  </si>
  <si>
    <t>Y8NZT00001760</t>
  </si>
  <si>
    <t>43175| 43165| 43166</t>
  </si>
  <si>
    <t>4495</t>
  </si>
  <si>
    <t>Y8NZT00001761</t>
  </si>
  <si>
    <t>43159| 43158| 43157| 43160</t>
  </si>
  <si>
    <t>4496</t>
  </si>
  <si>
    <t>Y8NZT00001769</t>
  </si>
  <si>
    <t>43167| 43176</t>
  </si>
  <si>
    <t>4497</t>
  </si>
  <si>
    <t xml:space="preserve">43161| 43162  </t>
  </si>
  <si>
    <t>4498</t>
  </si>
  <si>
    <t>4468</t>
  </si>
  <si>
    <t>0226238| 0226239| 0226240</t>
  </si>
  <si>
    <t>000163920</t>
  </si>
  <si>
    <t>4474</t>
  </si>
  <si>
    <t>Y8NZT00001765</t>
  </si>
  <si>
    <t xml:space="preserve">43168| 43153| 43154  </t>
  </si>
  <si>
    <t>4499</t>
  </si>
  <si>
    <t>Y8NZT00001766| Y8NZT00001767| Y8NZT00001768</t>
  </si>
  <si>
    <t xml:space="preserve">43155| 43156| 43151| 43152| 43224| 43218| 43225| 43223| 43220                </t>
  </si>
  <si>
    <t xml:space="preserve">43222| 43227  </t>
  </si>
  <si>
    <t>4507</t>
  </si>
  <si>
    <t>Y8NZT00001770</t>
  </si>
  <si>
    <t xml:space="preserve">43217| 43219| 43221    </t>
  </si>
  <si>
    <t>4506</t>
  </si>
  <si>
    <t>Y8NZT00001771</t>
  </si>
  <si>
    <t xml:space="preserve">43215| 43214| 43204| 43206      </t>
  </si>
  <si>
    <t>2319</t>
  </si>
  <si>
    <t>Y8NZT00001772</t>
  </si>
  <si>
    <t xml:space="preserve">43216| 43212|43208| 43210      </t>
  </si>
  <si>
    <t>4503</t>
  </si>
  <si>
    <t>Y8NZT00001773</t>
  </si>
  <si>
    <t>Y8NZT00001774</t>
  </si>
  <si>
    <t xml:space="preserve">43207| 43213| 43209    </t>
  </si>
  <si>
    <t>4504</t>
  </si>
  <si>
    <t>226241| 0226242</t>
  </si>
  <si>
    <t>000163923</t>
  </si>
  <si>
    <t>Y8NZT00001775</t>
  </si>
  <si>
    <t xml:space="preserve">43211| 43203  </t>
  </si>
  <si>
    <t>4505</t>
  </si>
  <si>
    <t>Y8NZT00001776</t>
  </si>
  <si>
    <t xml:space="preserve">43201| 43205  </t>
  </si>
  <si>
    <t>4487</t>
  </si>
  <si>
    <t>Y8NZT00001777</t>
  </si>
  <si>
    <t xml:space="preserve">43190| 43202  </t>
  </si>
  <si>
    <t>4488</t>
  </si>
  <si>
    <t>Y8NZT00001778</t>
  </si>
  <si>
    <t xml:space="preserve">43192| 43194  </t>
  </si>
  <si>
    <t>4489</t>
  </si>
  <si>
    <t>Y8NZT00001779</t>
  </si>
  <si>
    <t xml:space="preserve">43196| 43198| 43200    </t>
  </si>
  <si>
    <t>4490</t>
  </si>
  <si>
    <t>Y8NZT00001780</t>
  </si>
  <si>
    <t>4491</t>
  </si>
  <si>
    <t>Y8NZT00001782</t>
  </si>
  <si>
    <t>Y8NZT00001784</t>
  </si>
  <si>
    <t xml:space="preserve">43199| 43189  </t>
  </si>
  <si>
    <t>4475</t>
  </si>
  <si>
    <t>Y8NZT00001783</t>
  </si>
  <si>
    <t>43263| 43195| 43191| 43193</t>
  </si>
  <si>
    <t>4476</t>
  </si>
  <si>
    <t>Y8NZT00001785</t>
  </si>
  <si>
    <t>43257| 43258</t>
  </si>
  <si>
    <t>4464</t>
  </si>
  <si>
    <t>Y8NZT00001786</t>
  </si>
  <si>
    <t>43260| 43259| 43264</t>
  </si>
  <si>
    <t>4465</t>
  </si>
  <si>
    <t>4460</t>
  </si>
  <si>
    <t>4461</t>
  </si>
  <si>
    <t>4463</t>
  </si>
  <si>
    <t>Y8NZT00001787</t>
  </si>
  <si>
    <t>43256| 43255</t>
  </si>
  <si>
    <t>4466</t>
  </si>
  <si>
    <t>Y8NZT00001788</t>
  </si>
  <si>
    <t>43252| 43251</t>
  </si>
  <si>
    <t>4467</t>
  </si>
  <si>
    <t xml:space="preserve">43262| 43261  </t>
  </si>
  <si>
    <t>Y8NZT00001789</t>
  </si>
  <si>
    <t xml:space="preserve">43254| 43249  </t>
  </si>
  <si>
    <t>Y8NZT00001790</t>
  </si>
  <si>
    <t>43253| 43248| 43250</t>
  </si>
  <si>
    <t>4477</t>
  </si>
  <si>
    <t>Y8NZT00001791</t>
  </si>
  <si>
    <t>43246| 43244| 43242| 43247</t>
  </si>
  <si>
    <t>4478</t>
  </si>
  <si>
    <t>4470</t>
  </si>
  <si>
    <t>4473</t>
  </si>
  <si>
    <t>Y8NZT00001795</t>
  </si>
  <si>
    <t>43241| 43243</t>
  </si>
  <si>
    <t>4469</t>
  </si>
  <si>
    <t>Y8NZT00001781| Y8NZT00001725</t>
  </si>
  <si>
    <t>41103| 41108| 41110| 41106| 41105</t>
  </si>
  <si>
    <t>43238| 43245| 43240</t>
  </si>
  <si>
    <t xml:space="preserve">43239| 43236  </t>
  </si>
  <si>
    <t>4471</t>
  </si>
  <si>
    <t>4479</t>
  </si>
  <si>
    <t>43231| 43233</t>
  </si>
  <si>
    <t>4454</t>
  </si>
  <si>
    <t>43237| 43229</t>
  </si>
  <si>
    <t>Y8NZT00001797</t>
  </si>
  <si>
    <t>43232| 43234</t>
  </si>
  <si>
    <t xml:space="preserve">43235| 43230  </t>
  </si>
  <si>
    <t>4480</t>
  </si>
  <si>
    <t>Y8NZT00001799</t>
  </si>
  <si>
    <t>43305| 43226| 43228</t>
  </si>
  <si>
    <t>4483</t>
  </si>
  <si>
    <t>4485</t>
  </si>
  <si>
    <t>4482</t>
  </si>
  <si>
    <t>4481</t>
  </si>
  <si>
    <t>Y8NZT00001800</t>
  </si>
  <si>
    <t>43303| 43304| 43300</t>
  </si>
  <si>
    <t>4486</t>
  </si>
  <si>
    <t>Y8NZT00001801</t>
  </si>
  <si>
    <t>43302| 43297| 43298| 43306</t>
  </si>
  <si>
    <t>Y8NZT00001802</t>
  </si>
  <si>
    <t>0226243| 0226244| 0226245| 0226246| 0226247</t>
  </si>
  <si>
    <t>4652</t>
  </si>
  <si>
    <t>Y8NZT00001803</t>
  </si>
  <si>
    <t>Y8NZT00001804</t>
  </si>
  <si>
    <t>Y8NZT00001805</t>
  </si>
  <si>
    <t>Y8NZT00001808</t>
  </si>
  <si>
    <t>43294| 43299| 43301</t>
  </si>
  <si>
    <t>43296| 43293</t>
  </si>
  <si>
    <t xml:space="preserve">43279| 43280| 43281| 43282  </t>
  </si>
  <si>
    <t>4455</t>
  </si>
  <si>
    <t>Y8NZT00001806</t>
  </si>
  <si>
    <t xml:space="preserve">43292| 43283| 43285  </t>
  </si>
  <si>
    <t>4456</t>
  </si>
  <si>
    <t>Y8NZT00001807</t>
  </si>
  <si>
    <t xml:space="preserve">43295| 43287  </t>
  </si>
  <si>
    <t>0226248| 0226249| 0226250| 0226251| 0226252</t>
  </si>
  <si>
    <t>Y8NZT00001809</t>
  </si>
  <si>
    <t>0226253| 0226254</t>
  </si>
  <si>
    <t>000163921</t>
  </si>
  <si>
    <t>Y8NZT00001810</t>
  </si>
  <si>
    <t>43284| 43288| 43286| 43291</t>
  </si>
  <si>
    <t>4458</t>
  </si>
  <si>
    <t>Y8NZT00001811</t>
  </si>
  <si>
    <t>4640</t>
  </si>
  <si>
    <t>Y8NZT00001812</t>
  </si>
  <si>
    <t>0226255| 0226256| 0226257| 0226258| 0226259</t>
  </si>
  <si>
    <t>4641</t>
  </si>
  <si>
    <t>4646</t>
  </si>
  <si>
    <t>Y8NZT00001813</t>
  </si>
  <si>
    <t xml:space="preserve">43277| 43276  </t>
  </si>
  <si>
    <t>4642</t>
  </si>
  <si>
    <t>4643</t>
  </si>
  <si>
    <t>4648</t>
  </si>
  <si>
    <t>4644</t>
  </si>
  <si>
    <t>43289</t>
  </si>
  <si>
    <t>43197</t>
  </si>
  <si>
    <t>Y8NZT00001814</t>
  </si>
  <si>
    <t xml:space="preserve">43273| 43274| 43275   </t>
  </si>
  <si>
    <t>4645</t>
  </si>
  <si>
    <t>Y8NZT00001815</t>
  </si>
  <si>
    <t xml:space="preserve">43268| 43269| 43270   </t>
  </si>
  <si>
    <t>Y8NZT00001816</t>
  </si>
  <si>
    <t xml:space="preserve">43265| 43266 |43267  </t>
  </si>
  <si>
    <t>Y8NZT00001817</t>
  </si>
  <si>
    <t xml:space="preserve">43271| 43272  </t>
  </si>
  <si>
    <t>4459</t>
  </si>
  <si>
    <t>4653| 4650</t>
  </si>
  <si>
    <t>Y8NZT00001818| Y8NZT00001818</t>
  </si>
  <si>
    <t xml:space="preserve">43322| 43323| 43324|43320 | 43316| 43318| 43319 | 43321  </t>
  </si>
  <si>
    <t>Y8NZT00001819</t>
  </si>
  <si>
    <t xml:space="preserve">43278| 43290  </t>
  </si>
  <si>
    <t>4462</t>
  </si>
  <si>
    <t>Y8NZT00001820</t>
  </si>
  <si>
    <t xml:space="preserve">43326| 43328 | 43329  </t>
  </si>
  <si>
    <t>4651</t>
  </si>
  <si>
    <t>Y8NZT00001821</t>
  </si>
  <si>
    <t xml:space="preserve">43325| 43327 |43313| 43315  </t>
  </si>
  <si>
    <t>Y8NZT00001822</t>
  </si>
  <si>
    <t xml:space="preserve">43308| 43314| 43317  </t>
  </si>
  <si>
    <t>4649</t>
  </si>
  <si>
    <t>Y8NZT00001823</t>
  </si>
  <si>
    <t xml:space="preserve">43310  </t>
  </si>
  <si>
    <t>Y8NZT00001825</t>
  </si>
  <si>
    <t xml:space="preserve">43312  </t>
  </si>
  <si>
    <t>Y8NZT00001824</t>
  </si>
  <si>
    <t xml:space="preserve">43307 | 43309 | 43311  </t>
  </si>
  <si>
    <t>4655</t>
  </si>
  <si>
    <t>2317| 2318</t>
  </si>
  <si>
    <t>4514| 4518| 4517</t>
  </si>
  <si>
    <t>4492| 4656</t>
  </si>
  <si>
    <t xml:space="preserve">4500| 4501| 4502 </t>
  </si>
  <si>
    <t>C-Connect 27 July 2026</t>
  </si>
  <si>
    <t>29/07/2026</t>
  </si>
  <si>
    <t>Noordhoek Longbeach Mall</t>
  </si>
  <si>
    <t>Cape Gate Centre</t>
  </si>
  <si>
    <t>Milnerton Dunoon</t>
  </si>
  <si>
    <t>Y8NZT00001826</t>
  </si>
  <si>
    <t>0226282| 0226283| 0226284</t>
  </si>
  <si>
    <t>000163270</t>
  </si>
  <si>
    <t>Y8NZT00001827</t>
  </si>
  <si>
    <t>Y8NZT00001837</t>
  </si>
  <si>
    <t>43336| 43334</t>
  </si>
  <si>
    <t>4735</t>
  </si>
  <si>
    <t>Y8NZT00001828</t>
  </si>
  <si>
    <t>Y8NZT00001838</t>
  </si>
  <si>
    <t>43330| 43331</t>
  </si>
  <si>
    <t>4660</t>
  </si>
  <si>
    <t>Y8NZT00001829</t>
  </si>
  <si>
    <t>0226277| 0226285| 0226286</t>
  </si>
  <si>
    <t>000163901</t>
  </si>
  <si>
    <t>Y8NZT00001830</t>
  </si>
  <si>
    <t>0226278| 0226279| 0226280| 0226281</t>
  </si>
  <si>
    <t>4734</t>
  </si>
  <si>
    <t>Y8NZT00001831</t>
  </si>
  <si>
    <t>43343| 43333</t>
  </si>
  <si>
    <t>4733</t>
  </si>
  <si>
    <t>Y8NZT00001832</t>
  </si>
  <si>
    <t>43332| 43335| 43338</t>
  </si>
  <si>
    <t>4731</t>
  </si>
  <si>
    <t>Y8NZT00001833</t>
  </si>
  <si>
    <t xml:space="preserve">43337| 43339  </t>
  </si>
  <si>
    <t>4659</t>
  </si>
  <si>
    <t>Y8NZT00001834</t>
  </si>
  <si>
    <t>0226274| 0226275| 0226276| 0226267| 0226272| 0226273</t>
  </si>
  <si>
    <t>4657</t>
  </si>
  <si>
    <t>Y8NZT00001835</t>
  </si>
  <si>
    <t>0226268| 0226269| 0226270</t>
  </si>
  <si>
    <t>000163248</t>
  </si>
  <si>
    <t>Y8NZT00001836</t>
  </si>
  <si>
    <t>43340| 43341| 43342</t>
  </si>
  <si>
    <t>4658</t>
  </si>
  <si>
    <t>0226271| 0226262| 0226263| 0226264</t>
  </si>
  <si>
    <t>4661</t>
  </si>
  <si>
    <t>0226287| 0226288| 0226265| 0226266| 0226261| 0226260| 0226289</t>
  </si>
  <si>
    <t>4732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</si>
</sst>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2"/>
      <color indexed="8"/>
      <name val="Bookman Old Style"/>
      <family val="1"/>
    </font>
    <font>
      <b/>
      <sz val="12"/>
      <name val="Bookman Old Style"/>
      <family val="1"/>
    </font>
    <font>
      <b/>
      <sz val="16"/>
      <color indexed="8"/>
      <name val="Bookman Old Style"/>
      <family val="1"/>
    </font>
    <font>
      <sz val="10"/>
      <name val="Arial"/>
      <family val="2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2"/>
      <color indexed="8"/>
      <name val="Bookman Old Style"/>
      <family val="1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90">
        <stop position="0">
          <color theme="0"/>
        </stop>
        <stop position="1">
          <color theme="7"/>
        </stop>
      </gradientFill>
    </fill>
    <fill>
      <gradientFill type="path" left="0.5" right="0.5" top="0.5" bottom="0.5">
        <stop position="0">
          <color theme="0"/>
        </stop>
        <stop position="1">
          <color theme="7" tint="0.59999389629810485"/>
        </stop>
      </gradientFill>
    </fill>
    <fill>
      <gradientFill degree="90">
        <stop position="0">
          <color theme="0"/>
        </stop>
        <stop position="1">
          <color theme="7" tint="0.40000610370189521"/>
        </stop>
      </gradientFill>
    </fill>
    <fill>
      <gradientFill degree="90">
        <stop position="0">
          <color theme="0"/>
        </stop>
        <stop position="1">
          <color theme="9" tint="0.80001220740379042"/>
        </stop>
      </gradientFill>
    </fill>
    <fill>
      <gradientFill degree="90">
        <stop position="0">
          <color theme="0"/>
        </stop>
        <stop position="1">
          <color theme="3" tint="0.89803765984069339"/>
        </stop>
      </gradientFill>
    </fill>
    <fill>
      <gradientFill degree="90">
        <stop position="0">
          <color theme="0"/>
        </stop>
        <stop position="1">
          <color rgb="FFFF0000"/>
        </stop>
      </gradient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theme="7" tint="-0.249977111117893"/>
      </left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  <border>
      <left/>
      <right/>
      <top style="double">
        <color theme="7" tint="-0.249977111117893"/>
      </top>
      <bottom style="double">
        <color theme="7" tint="-0.249977111117893"/>
      </bottom>
      <diagonal/>
    </border>
    <border>
      <left style="double">
        <color theme="7" tint="-0.249977111117893"/>
      </left>
      <right/>
      <top style="double">
        <color theme="7" tint="-0.249977111117893"/>
      </top>
      <bottom style="double">
        <color theme="7" tint="-0.249977111117893"/>
      </bottom>
      <diagonal/>
    </border>
    <border>
      <left/>
      <right style="double">
        <color theme="7" tint="-0.249977111117893"/>
      </right>
      <top style="double">
        <color theme="7" tint="-0.249977111117893"/>
      </top>
      <bottom style="double">
        <color theme="7" tint="-0.249977111117893"/>
      </bottom>
      <diagonal/>
    </border>
  </borders>
  <cellStyleXfs count="5">
    <xf numFmtId="0" fontId="0" fillId="0" borderId="0"/>
    <xf numFmtId="0" fontId="5" fillId="0" borderId="0"/>
    <xf numFmtId="0" fontId="5" fillId="2" borderId="1" applyNumberFormat="0" applyFont="0" applyAlignment="0" applyProtection="0"/>
    <xf numFmtId="0" fontId="6" fillId="0" borderId="0"/>
    <xf numFmtId="0" fontId="5" fillId="2" borderId="1" applyNumberFormat="0" applyFont="0" applyAlignment="0" applyProtection="0"/>
  </cellStyleXfs>
  <cellXfs count="25">
    <xf numFmtId="0" fontId="0" fillId="0" borderId="0" xfId="0"/>
    <xf numFmtId="0" fontId="2" fillId="4" borderId="2" xfId="0" applyFont="1" applyFill="1" applyBorder="1" applyAlignment="1" applyProtection="1">
      <alignment horizontal="center" vertical="center" wrapText="1" readingOrder="1"/>
      <protection locked="0"/>
    </xf>
    <xf numFmtId="0" fontId="2" fillId="5" borderId="2" xfId="0" applyFont="1" applyFill="1" applyBorder="1" applyAlignment="1" applyProtection="1">
      <alignment vertical="center" wrapText="1" readingOrder="1"/>
      <protection locked="0"/>
    </xf>
    <xf numFmtId="0" fontId="3" fillId="5" borderId="2" xfId="0" applyFont="1" applyFill="1" applyBorder="1" applyAlignment="1" applyProtection="1">
      <alignment vertical="top" wrapText="1" readingOrder="1"/>
      <protection locked="0"/>
    </xf>
    <xf numFmtId="0" fontId="4" fillId="3" borderId="2" xfId="0" applyFont="1" applyFill="1" applyBorder="1" applyAlignment="1" applyProtection="1">
      <alignment vertical="top" wrapText="1" readingOrder="1"/>
      <protection locked="0"/>
    </xf>
    <xf numFmtId="0" fontId="0" fillId="0" borderId="0" xfId="0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2" xfId="0" applyFill="1" applyBorder="1"/>
    <xf numFmtId="0" fontId="0" fillId="7" borderId="2" xfId="0" quotePrefix="1" applyFill="1" applyBorder="1" applyAlignment="1">
      <alignment horizontal="left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4" fillId="3" borderId="2" xfId="0" applyFont="1" applyFill="1" applyBorder="1" applyAlignment="1" applyProtection="1">
      <alignment vertical="center" wrapText="1" readingOrder="1"/>
      <protection locked="0"/>
    </xf>
    <xf numFmtId="0" fontId="4" fillId="3" borderId="2" xfId="0" applyFont="1" applyFill="1" applyBorder="1" applyAlignment="1" applyProtection="1">
      <alignment horizontal="center" vertical="center" wrapText="1" readingOrder="1"/>
      <protection locked="0"/>
    </xf>
    <xf numFmtId="0" fontId="0" fillId="7" borderId="2" xfId="0" quotePrefix="1" applyFill="1" applyBorder="1"/>
    <xf numFmtId="14" fontId="7" fillId="6" borderId="2" xfId="0" applyNumberFormat="1" applyFont="1" applyFill="1" applyBorder="1" applyAlignment="1">
      <alignment horizontal="left"/>
    </xf>
    <xf numFmtId="0" fontId="7" fillId="8" borderId="2" xfId="0" applyFont="1" applyFill="1" applyBorder="1" applyAlignment="1">
      <alignment horizontal="left"/>
    </xf>
    <xf numFmtId="14" fontId="7" fillId="8" borderId="2" xfId="0" applyNumberFormat="1" applyFont="1" applyFill="1" applyBorder="1" applyAlignment="1">
      <alignment horizontal="left"/>
    </xf>
    <xf numFmtId="0" fontId="0" fillId="8" borderId="2" xfId="0" applyFill="1" applyBorder="1"/>
    <xf numFmtId="0" fontId="0" fillId="8" borderId="2" xfId="0" quotePrefix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2" fillId="5" borderId="2" xfId="0" applyFont="1" applyFill="1" applyBorder="1" applyAlignment="1" applyProtection="1">
      <alignment horizontal="left" vertical="center" wrapText="1" readingOrder="1"/>
      <protection locked="0"/>
    </xf>
    <xf numFmtId="0" fontId="1" fillId="5" borderId="2" xfId="0" applyFont="1" applyFill="1" applyBorder="1" applyAlignment="1">
      <alignment horizontal="center"/>
    </xf>
    <xf numFmtId="0" fontId="4" fillId="3" borderId="2" xfId="0" applyFont="1" applyFill="1" applyBorder="1" applyAlignment="1" applyProtection="1">
      <alignment horizontal="left" vertical="top" wrapText="1" readingOrder="1"/>
      <protection locked="0"/>
    </xf>
    <xf numFmtId="0" fontId="8" fillId="3" borderId="4" xfId="0" applyFont="1" applyFill="1" applyBorder="1" applyAlignment="1" applyProtection="1">
      <alignment horizontal="center" vertical="center" wrapText="1" readingOrder="1"/>
      <protection locked="0"/>
    </xf>
    <xf numFmtId="0" fontId="8" fillId="3" borderId="3" xfId="0" applyFont="1" applyFill="1" applyBorder="1" applyAlignment="1" applyProtection="1">
      <alignment horizontal="center" vertical="center" wrapText="1" readingOrder="1"/>
      <protection locked="0"/>
    </xf>
    <xf numFmtId="0" fontId="8" fillId="3" borderId="5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Normal" xfId="0" builtinId="0"/>
    <cellStyle name="Normal 2" xfId="1"/>
    <cellStyle name="Normal 3" xfId="3"/>
    <cellStyle name="Note 2" xfId="2"/>
    <cellStyle name="Note 2 2" xfId="4"/>
  </cellStyles>
  <dxfs count="0"/>
  <tableStyles count="0" defaultTableStyle="TableStyleMedium2" defaultPivotStyle="PivotStyleLight16"/>
  <colors>
    <mruColors>
      <color rgb="FFF40C80"/>
      <color rgb="FFAA1A06"/>
      <color rgb="FFFF9933"/>
      <color rgb="FF000000"/>
      <color rgb="FF66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I86"/>
  <sheetViews>
    <sheetView showGridLines="0" topLeftCell="B1" workbookViewId="0">
      <pane ySplit="1" topLeftCell="A2" activePane="bottomLeft" state="frozen"/>
      <selection pane="bottomLeft" activeCell="I2" sqref="I2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5" customWidth="1"/>
    <col min="9" max="9" width="16.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223570</v>
      </c>
      <c r="B2" s="13">
        <v>46029</v>
      </c>
      <c r="C2" s="6">
        <v>2013</v>
      </c>
      <c r="D2" s="6" t="s">
        <v>9</v>
      </c>
      <c r="E2" s="6" t="s">
        <v>10</v>
      </c>
      <c r="F2" s="6">
        <v>4</v>
      </c>
      <c r="G2" s="7" t="s">
        <v>11</v>
      </c>
      <c r="H2" s="8" t="s">
        <v>12</v>
      </c>
      <c r="I2" s="8">
        <v>2723</v>
      </c>
    </row>
    <row r="3" spans="1:9" ht="16.5" thickTop="1" thickBot="1">
      <c r="A3" s="6">
        <v>223582</v>
      </c>
      <c r="B3" s="13">
        <v>46029</v>
      </c>
      <c r="C3" s="6">
        <v>2061</v>
      </c>
      <c r="D3" s="6" t="s">
        <v>13</v>
      </c>
      <c r="E3" s="6" t="s">
        <v>10</v>
      </c>
      <c r="F3" s="6">
        <v>3</v>
      </c>
      <c r="G3" s="7" t="s">
        <v>14</v>
      </c>
      <c r="H3" s="8" t="s">
        <v>15</v>
      </c>
      <c r="I3" s="8">
        <v>2534</v>
      </c>
    </row>
    <row r="4" spans="1:9" ht="16.5" thickTop="1" thickBot="1">
      <c r="A4" s="6">
        <v>223586</v>
      </c>
      <c r="B4" s="13">
        <v>46029</v>
      </c>
      <c r="C4" s="6">
        <v>2083</v>
      </c>
      <c r="D4" s="6" t="s">
        <v>16</v>
      </c>
      <c r="E4" s="6" t="s">
        <v>10</v>
      </c>
      <c r="F4" s="6">
        <v>9</v>
      </c>
      <c r="G4" s="7" t="s">
        <v>17</v>
      </c>
      <c r="H4" s="8" t="s">
        <v>18</v>
      </c>
      <c r="I4" s="8">
        <v>2722</v>
      </c>
    </row>
    <row r="5" spans="1:9" ht="16.5" thickTop="1" thickBot="1">
      <c r="A5" s="6">
        <v>223588</v>
      </c>
      <c r="B5" s="13">
        <v>46029</v>
      </c>
      <c r="C5" s="6">
        <v>2085</v>
      </c>
      <c r="D5" s="6" t="s">
        <v>19</v>
      </c>
      <c r="E5" s="6" t="s">
        <v>10</v>
      </c>
      <c r="F5" s="6">
        <v>5</v>
      </c>
      <c r="G5" s="7" t="s">
        <v>20</v>
      </c>
      <c r="H5" s="8" t="s">
        <v>21</v>
      </c>
      <c r="I5" s="8">
        <v>2521</v>
      </c>
    </row>
    <row r="6" spans="1:9" ht="16.5" thickTop="1" thickBot="1">
      <c r="A6" s="6">
        <v>223593</v>
      </c>
      <c r="B6" s="13">
        <v>46029</v>
      </c>
      <c r="C6" s="6">
        <v>2099</v>
      </c>
      <c r="D6" s="6" t="s">
        <v>22</v>
      </c>
      <c r="E6" s="6" t="s">
        <v>23</v>
      </c>
      <c r="F6" s="6">
        <v>1</v>
      </c>
      <c r="G6" s="7" t="s">
        <v>24</v>
      </c>
      <c r="H6" s="8">
        <v>32087</v>
      </c>
      <c r="I6" s="8" t="s">
        <v>25</v>
      </c>
    </row>
    <row r="7" spans="1:9" ht="16.5" thickTop="1" thickBot="1">
      <c r="A7" s="6">
        <v>223600</v>
      </c>
      <c r="B7" s="13">
        <v>46029</v>
      </c>
      <c r="C7" s="6">
        <v>2117</v>
      </c>
      <c r="D7" s="6" t="s">
        <v>26</v>
      </c>
      <c r="E7" s="6" t="s">
        <v>23</v>
      </c>
      <c r="F7" s="6">
        <v>1</v>
      </c>
      <c r="G7" s="7" t="s">
        <v>27</v>
      </c>
      <c r="H7" s="8">
        <v>32088</v>
      </c>
      <c r="I7" s="8" t="s">
        <v>28</v>
      </c>
    </row>
    <row r="8" spans="1:9" ht="16.5" thickTop="1" thickBot="1">
      <c r="A8" s="6">
        <v>223604</v>
      </c>
      <c r="B8" s="13">
        <v>46029</v>
      </c>
      <c r="C8" s="6">
        <v>2133</v>
      </c>
      <c r="D8" s="6" t="s">
        <v>29</v>
      </c>
      <c r="E8" s="6" t="s">
        <v>23</v>
      </c>
      <c r="F8" s="6">
        <v>1</v>
      </c>
      <c r="G8" s="7" t="s">
        <v>30</v>
      </c>
      <c r="H8" s="8">
        <v>32051</v>
      </c>
      <c r="I8" s="8" t="s">
        <v>31</v>
      </c>
    </row>
    <row r="9" spans="1:9" ht="16.5" thickTop="1" thickBot="1">
      <c r="A9" s="6">
        <v>223633</v>
      </c>
      <c r="B9" s="13">
        <v>46029</v>
      </c>
      <c r="C9" s="6">
        <v>2292</v>
      </c>
      <c r="D9" s="6" t="s">
        <v>32</v>
      </c>
      <c r="E9" s="6" t="s">
        <v>10</v>
      </c>
      <c r="F9" s="6">
        <v>3</v>
      </c>
      <c r="G9" s="12" t="s">
        <v>33</v>
      </c>
      <c r="H9" s="8" t="s">
        <v>34</v>
      </c>
      <c r="I9" s="8">
        <v>4440</v>
      </c>
    </row>
    <row r="10" spans="1:9" ht="16.5" thickTop="1" thickBot="1">
      <c r="A10" s="6">
        <v>223642</v>
      </c>
      <c r="B10" s="13">
        <v>46029</v>
      </c>
      <c r="C10" s="6">
        <v>2338</v>
      </c>
      <c r="D10" s="6" t="s">
        <v>35</v>
      </c>
      <c r="E10" s="6" t="s">
        <v>10</v>
      </c>
      <c r="F10" s="6">
        <v>3</v>
      </c>
      <c r="G10" s="7" t="s">
        <v>36</v>
      </c>
      <c r="H10" s="8" t="s">
        <v>37</v>
      </c>
      <c r="I10" s="8">
        <v>2523</v>
      </c>
    </row>
    <row r="11" spans="1:9" ht="16.5" thickTop="1" thickBot="1">
      <c r="A11" s="6">
        <v>223659</v>
      </c>
      <c r="B11" s="13">
        <v>46029</v>
      </c>
      <c r="C11" s="6">
        <v>2411</v>
      </c>
      <c r="D11" s="6" t="s">
        <v>38</v>
      </c>
      <c r="E11" s="6" t="s">
        <v>23</v>
      </c>
      <c r="F11" s="6">
        <v>1</v>
      </c>
      <c r="G11" s="7" t="s">
        <v>39</v>
      </c>
      <c r="H11" s="8">
        <v>32001</v>
      </c>
      <c r="I11" s="8" t="s">
        <v>40</v>
      </c>
    </row>
    <row r="12" spans="1:9" ht="16.5" thickTop="1" thickBot="1">
      <c r="A12" s="6">
        <v>223677</v>
      </c>
      <c r="B12" s="13">
        <v>46029</v>
      </c>
      <c r="C12" s="6">
        <v>4008</v>
      </c>
      <c r="D12" s="6" t="s">
        <v>41</v>
      </c>
      <c r="E12" s="6" t="s">
        <v>10</v>
      </c>
      <c r="F12" s="6">
        <v>7</v>
      </c>
      <c r="G12" s="7" t="s">
        <v>42</v>
      </c>
      <c r="H12" s="8" t="s">
        <v>43</v>
      </c>
      <c r="I12" s="8">
        <v>2524</v>
      </c>
    </row>
    <row r="13" spans="1:9" ht="16.5" thickTop="1" thickBot="1">
      <c r="A13" s="6">
        <v>223681</v>
      </c>
      <c r="B13" s="13">
        <v>46029</v>
      </c>
      <c r="C13" s="6">
        <v>4034</v>
      </c>
      <c r="D13" s="6" t="s">
        <v>44</v>
      </c>
      <c r="E13" s="6" t="s">
        <v>10</v>
      </c>
      <c r="F13" s="6">
        <v>6</v>
      </c>
      <c r="G13" s="7" t="s">
        <v>45</v>
      </c>
      <c r="H13" s="8" t="s">
        <v>46</v>
      </c>
      <c r="I13" s="8">
        <v>2533</v>
      </c>
    </row>
    <row r="14" spans="1:9" ht="16.5" thickTop="1" thickBot="1">
      <c r="A14" s="6">
        <v>223695</v>
      </c>
      <c r="B14" s="13">
        <v>46029</v>
      </c>
      <c r="C14" s="6">
        <v>4089</v>
      </c>
      <c r="D14" s="6" t="s">
        <v>47</v>
      </c>
      <c r="E14" s="6" t="s">
        <v>10</v>
      </c>
      <c r="F14" s="6">
        <v>6</v>
      </c>
      <c r="G14" s="7" t="s">
        <v>48</v>
      </c>
      <c r="H14" s="8" t="s">
        <v>49</v>
      </c>
      <c r="I14" s="8">
        <v>2526</v>
      </c>
    </row>
    <row r="15" spans="1:9" ht="16.5" thickTop="1" thickBot="1">
      <c r="A15" s="6">
        <v>223703</v>
      </c>
      <c r="B15" s="13">
        <v>46029</v>
      </c>
      <c r="C15" s="6">
        <v>4112</v>
      </c>
      <c r="D15" s="6" t="s">
        <v>50</v>
      </c>
      <c r="E15" s="6" t="s">
        <v>10</v>
      </c>
      <c r="F15" s="6">
        <v>2</v>
      </c>
      <c r="G15" s="7" t="s">
        <v>51</v>
      </c>
      <c r="H15" s="8" t="s">
        <v>52</v>
      </c>
      <c r="I15" s="8">
        <v>2522</v>
      </c>
    </row>
    <row r="16" spans="1:9" ht="16.5" thickTop="1" thickBot="1">
      <c r="A16" s="6">
        <v>223707</v>
      </c>
      <c r="B16" s="13">
        <v>46029</v>
      </c>
      <c r="C16" s="6">
        <v>4149</v>
      </c>
      <c r="D16" s="6" t="s">
        <v>53</v>
      </c>
      <c r="E16" s="6" t="s">
        <v>10</v>
      </c>
      <c r="F16" s="6">
        <v>8</v>
      </c>
      <c r="G16" s="7" t="s">
        <v>54</v>
      </c>
      <c r="H16" s="8" t="s">
        <v>55</v>
      </c>
      <c r="I16" s="8">
        <v>2527</v>
      </c>
    </row>
    <row r="17" spans="1:9" ht="16.5" thickTop="1" thickBot="1">
      <c r="A17" s="6">
        <v>223722</v>
      </c>
      <c r="B17" s="13">
        <v>46029</v>
      </c>
      <c r="C17" s="6">
        <v>4230</v>
      </c>
      <c r="D17" s="6" t="s">
        <v>56</v>
      </c>
      <c r="E17" s="6" t="s">
        <v>10</v>
      </c>
      <c r="F17" s="6">
        <v>5</v>
      </c>
      <c r="G17" s="7" t="s">
        <v>57</v>
      </c>
      <c r="H17" s="8" t="s">
        <v>58</v>
      </c>
      <c r="I17" s="8">
        <v>2525</v>
      </c>
    </row>
    <row r="18" spans="1:9" ht="16.5" thickTop="1" thickBot="1">
      <c r="A18" s="6">
        <v>223725</v>
      </c>
      <c r="B18" s="13">
        <v>46029</v>
      </c>
      <c r="C18" s="6">
        <v>4233</v>
      </c>
      <c r="D18" s="6" t="s">
        <v>59</v>
      </c>
      <c r="E18" s="6" t="s">
        <v>23</v>
      </c>
      <c r="F18" s="6">
        <v>2</v>
      </c>
      <c r="G18" s="7" t="s">
        <v>60</v>
      </c>
      <c r="H18" s="8" t="s">
        <v>61</v>
      </c>
      <c r="I18" s="8" t="s">
        <v>62</v>
      </c>
    </row>
    <row r="19" spans="1:9" ht="16.5" thickTop="1" thickBot="1">
      <c r="A19" s="6">
        <v>223736</v>
      </c>
      <c r="B19" s="13">
        <v>46029</v>
      </c>
      <c r="C19" s="6">
        <v>4308</v>
      </c>
      <c r="D19" s="6" t="s">
        <v>63</v>
      </c>
      <c r="E19" s="6" t="s">
        <v>10</v>
      </c>
      <c r="F19" s="6">
        <v>3</v>
      </c>
      <c r="G19" s="7" t="s">
        <v>64</v>
      </c>
      <c r="H19" s="8" t="s">
        <v>65</v>
      </c>
      <c r="I19" s="8">
        <v>2537</v>
      </c>
    </row>
    <row r="20" spans="1:9" ht="16.5" thickTop="1" thickBot="1">
      <c r="A20" s="6">
        <v>223762</v>
      </c>
      <c r="B20" s="13">
        <v>46029</v>
      </c>
      <c r="C20" s="6">
        <v>4434</v>
      </c>
      <c r="D20" s="6" t="s">
        <v>66</v>
      </c>
      <c r="E20" s="6" t="s">
        <v>10</v>
      </c>
      <c r="F20" s="6">
        <v>3</v>
      </c>
      <c r="G20" s="7" t="s">
        <v>67</v>
      </c>
      <c r="H20" s="8" t="s">
        <v>68</v>
      </c>
      <c r="I20" s="8">
        <v>2543</v>
      </c>
    </row>
    <row r="21" spans="1:9" ht="16.5" thickTop="1" thickBot="1">
      <c r="A21" s="6">
        <v>223770</v>
      </c>
      <c r="B21" s="13">
        <v>46029</v>
      </c>
      <c r="C21" s="6">
        <v>4450</v>
      </c>
      <c r="D21" s="6" t="s">
        <v>69</v>
      </c>
      <c r="E21" s="6" t="s">
        <v>10</v>
      </c>
      <c r="F21" s="6">
        <v>4</v>
      </c>
      <c r="G21" s="7" t="s">
        <v>70</v>
      </c>
      <c r="H21" s="8" t="s">
        <v>71</v>
      </c>
      <c r="I21" s="8">
        <v>2530</v>
      </c>
    </row>
    <row r="22" spans="1:9" ht="16.5" thickTop="1" thickBot="1">
      <c r="A22" s="6">
        <v>223568</v>
      </c>
      <c r="B22" s="13">
        <v>46029</v>
      </c>
      <c r="C22" s="6">
        <v>2011</v>
      </c>
      <c r="D22" s="6" t="s">
        <v>72</v>
      </c>
      <c r="E22" s="6" t="s">
        <v>23</v>
      </c>
      <c r="F22" s="6">
        <v>1</v>
      </c>
      <c r="G22" s="7" t="s">
        <v>73</v>
      </c>
      <c r="H22" s="8">
        <v>32080</v>
      </c>
      <c r="I22" s="8" t="s">
        <v>74</v>
      </c>
    </row>
    <row r="23" spans="1:9" ht="16.5" thickTop="1" thickBot="1">
      <c r="A23" s="6">
        <v>223569</v>
      </c>
      <c r="B23" s="13">
        <v>46029</v>
      </c>
      <c r="C23" s="6">
        <v>2012</v>
      </c>
      <c r="D23" s="6" t="s">
        <v>75</v>
      </c>
      <c r="E23" s="6" t="s">
        <v>23</v>
      </c>
      <c r="F23" s="6">
        <v>1</v>
      </c>
      <c r="G23" s="7" t="s">
        <v>76</v>
      </c>
      <c r="H23" s="8">
        <v>32081</v>
      </c>
      <c r="I23" s="8" t="s">
        <v>77</v>
      </c>
    </row>
    <row r="24" spans="1:9" ht="16.5" thickTop="1" thickBot="1">
      <c r="A24" s="6">
        <v>223572</v>
      </c>
      <c r="B24" s="13">
        <v>46029</v>
      </c>
      <c r="C24" s="6">
        <v>2024</v>
      </c>
      <c r="D24" s="6" t="s">
        <v>78</v>
      </c>
      <c r="E24" s="6" t="s">
        <v>23</v>
      </c>
      <c r="F24" s="6">
        <v>2</v>
      </c>
      <c r="G24" s="7" t="s">
        <v>79</v>
      </c>
      <c r="H24" s="8" t="s">
        <v>80</v>
      </c>
      <c r="I24" s="8" t="s">
        <v>81</v>
      </c>
    </row>
    <row r="25" spans="1:9" ht="16.5" thickTop="1" thickBot="1">
      <c r="A25" s="6">
        <v>223574</v>
      </c>
      <c r="B25" s="13">
        <v>46029</v>
      </c>
      <c r="C25" s="6">
        <v>2034</v>
      </c>
      <c r="D25" s="6" t="s">
        <v>82</v>
      </c>
      <c r="E25" s="6" t="s">
        <v>23</v>
      </c>
      <c r="F25" s="6">
        <v>3</v>
      </c>
      <c r="G25" s="7" t="s">
        <v>83</v>
      </c>
      <c r="H25" s="8" t="s">
        <v>84</v>
      </c>
      <c r="I25" s="8" t="s">
        <v>85</v>
      </c>
    </row>
    <row r="26" spans="1:9" ht="16.5" thickTop="1" thickBot="1">
      <c r="A26" s="6">
        <v>223580</v>
      </c>
      <c r="B26" s="13">
        <v>46029</v>
      </c>
      <c r="C26" s="6">
        <v>2053</v>
      </c>
      <c r="D26" s="6" t="s">
        <v>86</v>
      </c>
      <c r="E26" s="6" t="s">
        <v>23</v>
      </c>
      <c r="F26" s="6">
        <v>2</v>
      </c>
      <c r="G26" s="7" t="s">
        <v>87</v>
      </c>
      <c r="H26" s="8" t="s">
        <v>88</v>
      </c>
      <c r="I26" s="8" t="s">
        <v>89</v>
      </c>
    </row>
    <row r="27" spans="1:9" ht="16.5" thickTop="1" thickBot="1">
      <c r="A27" s="6">
        <v>223583</v>
      </c>
      <c r="B27" s="13">
        <v>46029</v>
      </c>
      <c r="C27" s="6">
        <v>2062</v>
      </c>
      <c r="D27" s="6" t="s">
        <v>90</v>
      </c>
      <c r="E27" s="6" t="s">
        <v>23</v>
      </c>
      <c r="F27" s="6">
        <v>2</v>
      </c>
      <c r="G27" s="7" t="s">
        <v>91</v>
      </c>
      <c r="H27" s="8" t="s">
        <v>92</v>
      </c>
      <c r="I27" s="8" t="s">
        <v>93</v>
      </c>
    </row>
    <row r="28" spans="1:9" ht="16.5" thickTop="1" thickBot="1">
      <c r="A28" s="6">
        <v>223591</v>
      </c>
      <c r="B28" s="13">
        <v>46029</v>
      </c>
      <c r="C28" s="6">
        <v>2093</v>
      </c>
      <c r="D28" s="6" t="s">
        <v>94</v>
      </c>
      <c r="E28" s="6" t="s">
        <v>23</v>
      </c>
      <c r="F28" s="6">
        <v>1</v>
      </c>
      <c r="G28" s="7" t="s">
        <v>95</v>
      </c>
      <c r="H28" s="8">
        <v>32077</v>
      </c>
      <c r="I28" s="8" t="s">
        <v>96</v>
      </c>
    </row>
    <row r="29" spans="1:9" ht="16.5" thickTop="1" thickBot="1">
      <c r="A29" s="6">
        <v>223594</v>
      </c>
      <c r="B29" s="13">
        <v>46029</v>
      </c>
      <c r="C29" s="6">
        <v>2100</v>
      </c>
      <c r="D29" s="6" t="s">
        <v>97</v>
      </c>
      <c r="E29" s="6" t="s">
        <v>23</v>
      </c>
      <c r="F29" s="6">
        <v>1</v>
      </c>
      <c r="G29" s="7" t="s">
        <v>98</v>
      </c>
      <c r="H29" s="8">
        <v>32078</v>
      </c>
      <c r="I29" s="8" t="s">
        <v>99</v>
      </c>
    </row>
    <row r="30" spans="1:9" ht="16.5" thickTop="1" thickBot="1">
      <c r="A30" s="6">
        <v>223597</v>
      </c>
      <c r="B30" s="13">
        <v>46029</v>
      </c>
      <c r="C30" s="6">
        <v>2110</v>
      </c>
      <c r="D30" s="6" t="s">
        <v>100</v>
      </c>
      <c r="E30" s="6" t="s">
        <v>23</v>
      </c>
      <c r="F30" s="6">
        <v>2</v>
      </c>
      <c r="G30" s="7" t="s">
        <v>101</v>
      </c>
      <c r="H30" s="8" t="s">
        <v>102</v>
      </c>
      <c r="I30" s="8" t="s">
        <v>103</v>
      </c>
    </row>
    <row r="31" spans="1:9" ht="16.5" thickTop="1" thickBot="1">
      <c r="A31" s="6">
        <v>223603</v>
      </c>
      <c r="B31" s="13">
        <v>46029</v>
      </c>
      <c r="C31" s="6">
        <v>2128</v>
      </c>
      <c r="D31" s="6" t="s">
        <v>104</v>
      </c>
      <c r="E31" s="6" t="s">
        <v>23</v>
      </c>
      <c r="F31" s="6">
        <v>2</v>
      </c>
      <c r="G31" s="7" t="s">
        <v>105</v>
      </c>
      <c r="H31" s="8" t="s">
        <v>106</v>
      </c>
      <c r="I31" s="8" t="s">
        <v>107</v>
      </c>
    </row>
    <row r="32" spans="1:9" ht="16.5" thickTop="1" thickBot="1">
      <c r="A32" s="6">
        <v>223607</v>
      </c>
      <c r="B32" s="13">
        <v>46029</v>
      </c>
      <c r="C32" s="6">
        <v>2162</v>
      </c>
      <c r="D32" s="6" t="s">
        <v>108</v>
      </c>
      <c r="E32" s="6" t="s">
        <v>23</v>
      </c>
      <c r="F32" s="6">
        <v>2</v>
      </c>
      <c r="G32" s="7" t="s">
        <v>109</v>
      </c>
      <c r="H32" s="8" t="s">
        <v>110</v>
      </c>
      <c r="I32" s="8" t="s">
        <v>111</v>
      </c>
    </row>
    <row r="33" spans="1:9" ht="16.5" thickTop="1" thickBot="1">
      <c r="A33" s="6">
        <v>223609</v>
      </c>
      <c r="B33" s="13">
        <v>46029</v>
      </c>
      <c r="C33" s="6">
        <v>2170</v>
      </c>
      <c r="D33" s="6" t="s">
        <v>112</v>
      </c>
      <c r="E33" s="6" t="s">
        <v>23</v>
      </c>
      <c r="F33" s="6">
        <v>1</v>
      </c>
      <c r="G33" s="7" t="s">
        <v>113</v>
      </c>
      <c r="H33" s="8">
        <v>32071</v>
      </c>
      <c r="I33" s="8" t="s">
        <v>114</v>
      </c>
    </row>
    <row r="34" spans="1:9" ht="16.5" thickTop="1" thickBot="1">
      <c r="A34" s="6">
        <v>223611</v>
      </c>
      <c r="B34" s="13">
        <v>46029</v>
      </c>
      <c r="C34" s="6">
        <v>2177</v>
      </c>
      <c r="D34" s="6" t="s">
        <v>115</v>
      </c>
      <c r="E34" s="6" t="s">
        <v>23</v>
      </c>
      <c r="F34" s="6">
        <v>1</v>
      </c>
      <c r="G34" s="7" t="s">
        <v>116</v>
      </c>
      <c r="H34" s="8">
        <v>32072</v>
      </c>
      <c r="I34" s="8" t="s">
        <v>117</v>
      </c>
    </row>
    <row r="35" spans="1:9" ht="16.5" thickTop="1" thickBot="1">
      <c r="A35" s="6">
        <v>223613</v>
      </c>
      <c r="B35" s="13">
        <v>46029</v>
      </c>
      <c r="C35" s="6">
        <v>2181</v>
      </c>
      <c r="D35" s="6" t="s">
        <v>118</v>
      </c>
      <c r="E35" s="6" t="s">
        <v>23</v>
      </c>
      <c r="F35" s="6">
        <v>4</v>
      </c>
      <c r="G35" s="7" t="s">
        <v>119</v>
      </c>
      <c r="H35" s="8" t="s">
        <v>120</v>
      </c>
      <c r="I35" s="8">
        <v>2531</v>
      </c>
    </row>
    <row r="36" spans="1:9" ht="16.5" thickTop="1" thickBot="1">
      <c r="A36" s="6">
        <v>223614</v>
      </c>
      <c r="B36" s="6">
        <v>46029</v>
      </c>
      <c r="C36" s="6">
        <v>2186</v>
      </c>
      <c r="D36" s="6" t="s">
        <v>121</v>
      </c>
      <c r="E36" s="6" t="s">
        <v>23</v>
      </c>
      <c r="F36" s="6">
        <v>1</v>
      </c>
      <c r="G36" s="8" t="s">
        <v>122</v>
      </c>
      <c r="H36" s="8">
        <v>32063</v>
      </c>
      <c r="I36" s="8" t="s">
        <v>123</v>
      </c>
    </row>
    <row r="37" spans="1:9" ht="16.5" thickTop="1" thickBot="1">
      <c r="A37" s="6">
        <v>223618</v>
      </c>
      <c r="B37" s="6">
        <v>46029</v>
      </c>
      <c r="C37" s="6">
        <v>2207</v>
      </c>
      <c r="D37" s="6" t="s">
        <v>124</v>
      </c>
      <c r="E37" s="6" t="s">
        <v>23</v>
      </c>
      <c r="F37" s="6">
        <v>3</v>
      </c>
      <c r="G37" s="8" t="s">
        <v>125</v>
      </c>
      <c r="H37" s="8" t="s">
        <v>126</v>
      </c>
      <c r="I37" s="8" t="s">
        <v>127</v>
      </c>
    </row>
    <row r="38" spans="1:9" ht="16.5" thickTop="1" thickBot="1">
      <c r="A38" s="6">
        <v>223623</v>
      </c>
      <c r="B38" s="6">
        <v>46029</v>
      </c>
      <c r="C38" s="6">
        <v>2242</v>
      </c>
      <c r="D38" s="6" t="s">
        <v>128</v>
      </c>
      <c r="E38" s="6" t="s">
        <v>23</v>
      </c>
      <c r="F38" s="6">
        <v>2</v>
      </c>
      <c r="G38" s="8" t="s">
        <v>129</v>
      </c>
      <c r="H38" s="8" t="s">
        <v>130</v>
      </c>
      <c r="I38" s="8" t="s">
        <v>131</v>
      </c>
    </row>
    <row r="39" spans="1:9" ht="16.5" thickTop="1" thickBot="1">
      <c r="A39" s="6">
        <v>223625</v>
      </c>
      <c r="B39" s="6">
        <v>46029</v>
      </c>
      <c r="C39" s="6">
        <v>2249</v>
      </c>
      <c r="D39" s="6" t="s">
        <v>132</v>
      </c>
      <c r="E39" s="6" t="s">
        <v>23</v>
      </c>
      <c r="F39" s="6">
        <v>1</v>
      </c>
      <c r="G39" s="8" t="s">
        <v>133</v>
      </c>
      <c r="H39" s="8">
        <v>32026</v>
      </c>
      <c r="I39" s="8" t="s">
        <v>134</v>
      </c>
    </row>
    <row r="40" spans="1:9" ht="16.5" thickTop="1" thickBot="1">
      <c r="A40" s="6">
        <v>223632</v>
      </c>
      <c r="B40" s="6">
        <v>46029</v>
      </c>
      <c r="C40" s="6">
        <v>2285</v>
      </c>
      <c r="D40" s="6" t="s">
        <v>135</v>
      </c>
      <c r="E40" s="6" t="s">
        <v>23</v>
      </c>
      <c r="F40" s="6">
        <v>2</v>
      </c>
      <c r="G40" s="8" t="s">
        <v>136</v>
      </c>
      <c r="H40" s="8" t="s">
        <v>137</v>
      </c>
      <c r="I40" s="8" t="s">
        <v>138</v>
      </c>
    </row>
    <row r="41" spans="1:9" ht="16.5" thickTop="1" thickBot="1">
      <c r="A41" s="6">
        <v>223636</v>
      </c>
      <c r="B41" s="6">
        <v>46029</v>
      </c>
      <c r="C41" s="6">
        <v>2305</v>
      </c>
      <c r="D41" s="6" t="s">
        <v>139</v>
      </c>
      <c r="E41" s="6" t="s">
        <v>23</v>
      </c>
      <c r="F41" s="6">
        <v>2</v>
      </c>
      <c r="G41" s="8" t="s">
        <v>140</v>
      </c>
      <c r="H41" s="8" t="s">
        <v>141</v>
      </c>
      <c r="I41" s="8" t="s">
        <v>142</v>
      </c>
    </row>
    <row r="42" spans="1:9" ht="16.5" thickTop="1" thickBot="1">
      <c r="A42" s="6">
        <v>223638</v>
      </c>
      <c r="B42" s="6">
        <v>46029</v>
      </c>
      <c r="C42" s="6">
        <v>2312</v>
      </c>
      <c r="D42" s="6" t="s">
        <v>143</v>
      </c>
      <c r="E42" s="6" t="s">
        <v>23</v>
      </c>
      <c r="F42" s="6">
        <v>2</v>
      </c>
      <c r="G42" s="8" t="s">
        <v>144</v>
      </c>
      <c r="H42" s="8" t="s">
        <v>145</v>
      </c>
      <c r="I42" s="8" t="s">
        <v>146</v>
      </c>
    </row>
    <row r="43" spans="1:9" ht="16.5" thickTop="1" thickBot="1">
      <c r="A43" s="6">
        <v>223643</v>
      </c>
      <c r="B43" s="6">
        <v>46029</v>
      </c>
      <c r="C43" s="6">
        <v>2343</v>
      </c>
      <c r="D43" s="6" t="s">
        <v>147</v>
      </c>
      <c r="E43" s="6" t="s">
        <v>23</v>
      </c>
      <c r="F43" s="6">
        <v>1</v>
      </c>
      <c r="G43" s="8" t="s">
        <v>148</v>
      </c>
      <c r="H43" s="8">
        <v>32040</v>
      </c>
      <c r="I43" s="8" t="s">
        <v>149</v>
      </c>
    </row>
    <row r="44" spans="1:9" ht="16.5" thickTop="1" thickBot="1">
      <c r="A44" s="6">
        <v>223644</v>
      </c>
      <c r="B44" s="6">
        <v>46029</v>
      </c>
      <c r="C44" s="6">
        <v>2344</v>
      </c>
      <c r="D44" s="6" t="s">
        <v>150</v>
      </c>
      <c r="E44" s="6" t="s">
        <v>23</v>
      </c>
      <c r="F44" s="6">
        <v>3</v>
      </c>
      <c r="G44" s="8" t="s">
        <v>151</v>
      </c>
      <c r="H44" s="8" t="s">
        <v>152</v>
      </c>
      <c r="I44" s="8" t="s">
        <v>153</v>
      </c>
    </row>
    <row r="45" spans="1:9" ht="16.5" thickTop="1" thickBot="1">
      <c r="A45" s="6">
        <v>223647</v>
      </c>
      <c r="B45" s="6">
        <v>46029</v>
      </c>
      <c r="C45" s="6">
        <v>2360</v>
      </c>
      <c r="D45" s="6" t="s">
        <v>154</v>
      </c>
      <c r="E45" s="6" t="s">
        <v>23</v>
      </c>
      <c r="F45" s="6">
        <v>1</v>
      </c>
      <c r="G45" s="8" t="s">
        <v>155</v>
      </c>
      <c r="H45" s="8">
        <v>32052</v>
      </c>
      <c r="I45" s="8" t="s">
        <v>156</v>
      </c>
    </row>
    <row r="46" spans="1:9" ht="16.5" thickTop="1" thickBot="1">
      <c r="A46" s="6">
        <v>223649</v>
      </c>
      <c r="B46" s="6">
        <v>46029</v>
      </c>
      <c r="C46" s="6">
        <v>2366</v>
      </c>
      <c r="D46" s="6" t="s">
        <v>157</v>
      </c>
      <c r="E46" s="6" t="s">
        <v>23</v>
      </c>
      <c r="F46" s="6">
        <v>1</v>
      </c>
      <c r="G46" s="8" t="s">
        <v>158</v>
      </c>
      <c r="H46" s="8">
        <v>32053</v>
      </c>
      <c r="I46" s="8" t="s">
        <v>159</v>
      </c>
    </row>
    <row r="47" spans="1:9" ht="16.5" thickTop="1" thickBot="1">
      <c r="A47" s="6">
        <v>223650</v>
      </c>
      <c r="B47" s="6">
        <v>46029</v>
      </c>
      <c r="C47" s="6">
        <v>2375</v>
      </c>
      <c r="D47" s="6" t="s">
        <v>160</v>
      </c>
      <c r="E47" s="6" t="s">
        <v>23</v>
      </c>
      <c r="F47" s="6">
        <v>2</v>
      </c>
      <c r="G47" s="8" t="s">
        <v>161</v>
      </c>
      <c r="H47" s="8" t="s">
        <v>162</v>
      </c>
      <c r="I47" s="8" t="s">
        <v>163</v>
      </c>
    </row>
    <row r="48" spans="1:9" ht="16.5" thickTop="1" thickBot="1">
      <c r="A48" s="6">
        <v>223651</v>
      </c>
      <c r="B48" s="6">
        <v>46029</v>
      </c>
      <c r="C48" s="6">
        <v>2380</v>
      </c>
      <c r="D48" s="6" t="s">
        <v>164</v>
      </c>
      <c r="E48" s="6" t="s">
        <v>23</v>
      </c>
      <c r="F48" s="6">
        <v>1</v>
      </c>
      <c r="G48" s="8" t="s">
        <v>165</v>
      </c>
      <c r="H48" s="8">
        <v>32044</v>
      </c>
      <c r="I48" s="8" t="s">
        <v>166</v>
      </c>
    </row>
    <row r="49" spans="1:9" ht="16.5" thickTop="1" thickBot="1">
      <c r="A49" s="6">
        <v>223654</v>
      </c>
      <c r="B49" s="6">
        <v>46029</v>
      </c>
      <c r="C49" s="6">
        <v>2393</v>
      </c>
      <c r="D49" s="6" t="s">
        <v>167</v>
      </c>
      <c r="E49" s="6" t="s">
        <v>23</v>
      </c>
      <c r="F49" s="6">
        <v>3</v>
      </c>
      <c r="G49" s="8" t="s">
        <v>168</v>
      </c>
      <c r="H49" s="8" t="s">
        <v>169</v>
      </c>
      <c r="I49" s="8" t="s">
        <v>170</v>
      </c>
    </row>
    <row r="50" spans="1:9" ht="16.5" thickTop="1" thickBot="1">
      <c r="A50" s="6">
        <v>223655</v>
      </c>
      <c r="B50" s="6">
        <v>46029</v>
      </c>
      <c r="C50" s="6">
        <v>2394</v>
      </c>
      <c r="D50" s="6" t="s">
        <v>171</v>
      </c>
      <c r="E50" s="6" t="s">
        <v>23</v>
      </c>
      <c r="F50" s="6">
        <v>2</v>
      </c>
      <c r="G50" s="8" t="s">
        <v>172</v>
      </c>
      <c r="H50" s="8" t="s">
        <v>173</v>
      </c>
      <c r="I50" s="8" t="s">
        <v>174</v>
      </c>
    </row>
    <row r="51" spans="1:9" ht="16.5" thickTop="1" thickBot="1">
      <c r="A51" s="6">
        <v>223657</v>
      </c>
      <c r="B51" s="6">
        <v>46029</v>
      </c>
      <c r="C51" s="6">
        <v>2397</v>
      </c>
      <c r="D51" s="6" t="s">
        <v>175</v>
      </c>
      <c r="E51" s="6" t="s">
        <v>23</v>
      </c>
      <c r="F51" s="6">
        <v>1</v>
      </c>
      <c r="G51" s="8" t="s">
        <v>176</v>
      </c>
      <c r="H51" s="8">
        <v>32016</v>
      </c>
      <c r="I51" s="8" t="s">
        <v>177</v>
      </c>
    </row>
    <row r="52" spans="1:9" ht="16.5" thickTop="1" thickBot="1">
      <c r="A52" s="6">
        <v>223664</v>
      </c>
      <c r="B52" s="6">
        <v>46029</v>
      </c>
      <c r="C52" s="6">
        <v>2433</v>
      </c>
      <c r="D52" s="6" t="s">
        <v>178</v>
      </c>
      <c r="E52" s="6" t="s">
        <v>23</v>
      </c>
      <c r="F52" s="6">
        <v>2</v>
      </c>
      <c r="G52" s="8" t="s">
        <v>179</v>
      </c>
      <c r="H52" s="8" t="s">
        <v>180</v>
      </c>
      <c r="I52" s="8" t="s">
        <v>181</v>
      </c>
    </row>
    <row r="53" spans="1:9" ht="16.5" thickTop="1" thickBot="1">
      <c r="A53" s="6">
        <v>223666</v>
      </c>
      <c r="B53" s="6">
        <v>46029</v>
      </c>
      <c r="C53" s="6">
        <v>2447</v>
      </c>
      <c r="D53" s="6" t="s">
        <v>182</v>
      </c>
      <c r="E53" s="6" t="s">
        <v>23</v>
      </c>
      <c r="F53" s="6">
        <v>2</v>
      </c>
      <c r="G53" s="8" t="s">
        <v>183</v>
      </c>
      <c r="H53" s="8" t="s">
        <v>184</v>
      </c>
      <c r="I53" s="8" t="s">
        <v>185</v>
      </c>
    </row>
    <row r="54" spans="1:9" ht="16.5" thickTop="1" thickBot="1">
      <c r="A54" s="6">
        <v>223670</v>
      </c>
      <c r="B54" s="6">
        <v>46029</v>
      </c>
      <c r="C54" s="6">
        <v>2462</v>
      </c>
      <c r="D54" s="6" t="s">
        <v>186</v>
      </c>
      <c r="E54" s="6" t="s">
        <v>23</v>
      </c>
      <c r="F54" s="6">
        <v>1</v>
      </c>
      <c r="G54" s="8" t="s">
        <v>187</v>
      </c>
      <c r="H54" s="8">
        <v>32033</v>
      </c>
      <c r="I54" s="8" t="s">
        <v>188</v>
      </c>
    </row>
    <row r="55" spans="1:9" ht="16.5" thickTop="1" thickBot="1">
      <c r="A55" s="6">
        <v>223679</v>
      </c>
      <c r="B55" s="6">
        <v>46029</v>
      </c>
      <c r="C55" s="6">
        <v>4018</v>
      </c>
      <c r="D55" s="6" t="s">
        <v>189</v>
      </c>
      <c r="E55" s="6" t="s">
        <v>23</v>
      </c>
      <c r="F55" s="6">
        <v>1</v>
      </c>
      <c r="G55" s="8" t="s">
        <v>190</v>
      </c>
      <c r="H55" s="8">
        <v>32019</v>
      </c>
      <c r="I55" s="8" t="s">
        <v>191</v>
      </c>
    </row>
    <row r="56" spans="1:9" ht="16.5" thickTop="1" thickBot="1">
      <c r="A56" s="6">
        <v>223680</v>
      </c>
      <c r="B56" s="6">
        <v>46029</v>
      </c>
      <c r="C56" s="6">
        <v>4022</v>
      </c>
      <c r="D56" s="6" t="s">
        <v>192</v>
      </c>
      <c r="E56" s="6" t="s">
        <v>23</v>
      </c>
      <c r="F56" s="6">
        <v>2</v>
      </c>
      <c r="G56" s="8" t="s">
        <v>193</v>
      </c>
      <c r="H56" s="8" t="s">
        <v>194</v>
      </c>
      <c r="I56" s="8" t="s">
        <v>195</v>
      </c>
    </row>
    <row r="57" spans="1:9" ht="16.5" thickTop="1" thickBot="1">
      <c r="A57" s="6">
        <v>223682</v>
      </c>
      <c r="B57" s="6">
        <v>46029</v>
      </c>
      <c r="C57" s="6">
        <v>4040</v>
      </c>
      <c r="D57" s="6" t="s">
        <v>196</v>
      </c>
      <c r="E57" s="6" t="s">
        <v>23</v>
      </c>
      <c r="F57" s="6">
        <v>4</v>
      </c>
      <c r="G57" s="8" t="s">
        <v>197</v>
      </c>
      <c r="H57" s="8" t="s">
        <v>198</v>
      </c>
      <c r="I57" s="8">
        <v>2532</v>
      </c>
    </row>
    <row r="58" spans="1:9" ht="16.5" thickTop="1" thickBot="1">
      <c r="A58" s="6">
        <v>223688</v>
      </c>
      <c r="B58" s="6">
        <v>46029</v>
      </c>
      <c r="C58" s="6">
        <v>4053</v>
      </c>
      <c r="D58" s="6" t="s">
        <v>199</v>
      </c>
      <c r="E58" s="6" t="s">
        <v>23</v>
      </c>
      <c r="F58" s="6">
        <v>2</v>
      </c>
      <c r="G58" s="8" t="s">
        <v>200</v>
      </c>
      <c r="H58" s="8" t="s">
        <v>201</v>
      </c>
      <c r="I58" s="8" t="s">
        <v>202</v>
      </c>
    </row>
    <row r="59" spans="1:9" ht="16.5" thickTop="1" thickBot="1">
      <c r="A59" s="6">
        <v>223692</v>
      </c>
      <c r="B59" s="6">
        <v>46029</v>
      </c>
      <c r="C59" s="6">
        <v>4061</v>
      </c>
      <c r="D59" s="6" t="s">
        <v>203</v>
      </c>
      <c r="E59" s="6" t="s">
        <v>23</v>
      </c>
      <c r="F59" s="6">
        <v>2</v>
      </c>
      <c r="G59" s="8" t="s">
        <v>204</v>
      </c>
      <c r="H59" s="8" t="s">
        <v>205</v>
      </c>
      <c r="I59" s="8" t="s">
        <v>206</v>
      </c>
    </row>
    <row r="60" spans="1:9" ht="16.5" thickTop="1" thickBot="1">
      <c r="A60" s="6">
        <v>223697</v>
      </c>
      <c r="B60" s="6">
        <v>46029</v>
      </c>
      <c r="C60" s="6">
        <v>4091</v>
      </c>
      <c r="D60" s="6" t="s">
        <v>207</v>
      </c>
      <c r="E60" s="6" t="s">
        <v>23</v>
      </c>
      <c r="F60" s="6">
        <v>1</v>
      </c>
      <c r="G60" s="8" t="s">
        <v>208</v>
      </c>
      <c r="H60" s="8">
        <v>32009</v>
      </c>
      <c r="I60" s="8" t="s">
        <v>209</v>
      </c>
    </row>
    <row r="61" spans="1:9" ht="16.5" thickTop="1" thickBot="1">
      <c r="A61" s="6">
        <v>223699</v>
      </c>
      <c r="B61" s="6">
        <v>46029</v>
      </c>
      <c r="C61" s="6">
        <v>4099</v>
      </c>
      <c r="D61" s="6" t="s">
        <v>210</v>
      </c>
      <c r="E61" s="6" t="s">
        <v>23</v>
      </c>
      <c r="F61" s="6">
        <v>1</v>
      </c>
      <c r="G61" s="8" t="s">
        <v>211</v>
      </c>
      <c r="H61" s="8">
        <v>32010</v>
      </c>
      <c r="I61" s="8" t="s">
        <v>212</v>
      </c>
    </row>
    <row r="62" spans="1:9" ht="16.5" thickTop="1" thickBot="1">
      <c r="A62" s="6">
        <v>223701</v>
      </c>
      <c r="B62" s="6">
        <v>46029</v>
      </c>
      <c r="C62" s="6">
        <v>4107</v>
      </c>
      <c r="D62" s="6" t="s">
        <v>213</v>
      </c>
      <c r="E62" s="6" t="s">
        <v>23</v>
      </c>
      <c r="F62" s="6">
        <v>1</v>
      </c>
      <c r="G62" s="8" t="s">
        <v>214</v>
      </c>
      <c r="H62" s="8">
        <v>32002</v>
      </c>
      <c r="I62" s="8" t="s">
        <v>215</v>
      </c>
    </row>
    <row r="63" spans="1:9" ht="16.5" thickTop="1" thickBot="1">
      <c r="A63" s="6">
        <v>223702</v>
      </c>
      <c r="B63" s="6">
        <v>46029</v>
      </c>
      <c r="C63" s="6">
        <v>4111</v>
      </c>
      <c r="D63" s="6" t="s">
        <v>216</v>
      </c>
      <c r="E63" s="6" t="s">
        <v>23</v>
      </c>
      <c r="F63" s="6">
        <v>1</v>
      </c>
      <c r="G63" s="8" t="s">
        <v>217</v>
      </c>
      <c r="H63" s="8">
        <v>32011</v>
      </c>
      <c r="I63" s="8" t="s">
        <v>218</v>
      </c>
    </row>
    <row r="64" spans="1:9" ht="16.5" thickTop="1" thickBot="1">
      <c r="A64" s="6">
        <v>223710</v>
      </c>
      <c r="B64" s="6">
        <v>46029</v>
      </c>
      <c r="C64" s="6">
        <v>4173</v>
      </c>
      <c r="D64" s="6" t="s">
        <v>219</v>
      </c>
      <c r="E64" s="6" t="s">
        <v>23</v>
      </c>
      <c r="F64" s="6">
        <v>2</v>
      </c>
      <c r="G64" s="8" t="s">
        <v>220</v>
      </c>
      <c r="H64" s="8" t="s">
        <v>221</v>
      </c>
      <c r="I64" s="8" t="s">
        <v>222</v>
      </c>
    </row>
    <row r="65" spans="1:9" ht="16.5" thickTop="1" thickBot="1">
      <c r="A65" s="6">
        <v>223711</v>
      </c>
      <c r="B65" s="6">
        <v>46029</v>
      </c>
      <c r="C65" s="6">
        <v>4175</v>
      </c>
      <c r="D65" s="6" t="s">
        <v>223</v>
      </c>
      <c r="E65" s="6" t="s">
        <v>23</v>
      </c>
      <c r="F65" s="6">
        <v>2</v>
      </c>
      <c r="G65" s="8" t="s">
        <v>224</v>
      </c>
      <c r="H65" s="8" t="s">
        <v>225</v>
      </c>
      <c r="I65" s="8" t="s">
        <v>226</v>
      </c>
    </row>
    <row r="66" spans="1:9" ht="16.5" thickTop="1" thickBot="1">
      <c r="A66" s="6">
        <v>223715</v>
      </c>
      <c r="B66" s="6">
        <v>46029</v>
      </c>
      <c r="C66" s="6">
        <v>4199</v>
      </c>
      <c r="D66" s="6" t="s">
        <v>227</v>
      </c>
      <c r="E66" s="6" t="s">
        <v>23</v>
      </c>
      <c r="F66" s="6">
        <v>2</v>
      </c>
      <c r="G66" s="8" t="s">
        <v>228</v>
      </c>
      <c r="H66" s="8" t="s">
        <v>229</v>
      </c>
      <c r="I66" s="8" t="s">
        <v>230</v>
      </c>
    </row>
    <row r="67" spans="1:9" ht="16.5" thickTop="1" thickBot="1">
      <c r="A67" s="6">
        <v>223716</v>
      </c>
      <c r="B67" s="6">
        <v>46029</v>
      </c>
      <c r="C67" s="6">
        <v>4201</v>
      </c>
      <c r="D67" s="6" t="s">
        <v>231</v>
      </c>
      <c r="E67" s="6" t="s">
        <v>23</v>
      </c>
      <c r="F67" s="6">
        <v>2</v>
      </c>
      <c r="G67" s="8" t="s">
        <v>232</v>
      </c>
      <c r="H67" s="8" t="s">
        <v>233</v>
      </c>
      <c r="I67" s="8" t="s">
        <v>234</v>
      </c>
    </row>
    <row r="68" spans="1:9" ht="16.5" thickTop="1" thickBot="1">
      <c r="A68" s="6">
        <v>223717</v>
      </c>
      <c r="B68" s="6">
        <v>46029</v>
      </c>
      <c r="C68" s="6">
        <v>4202</v>
      </c>
      <c r="D68" s="6" t="s">
        <v>235</v>
      </c>
      <c r="E68" s="6" t="s">
        <v>23</v>
      </c>
      <c r="F68" s="6">
        <v>1</v>
      </c>
      <c r="G68" s="8" t="s">
        <v>236</v>
      </c>
      <c r="H68" s="8">
        <v>32006</v>
      </c>
      <c r="I68" s="8" t="s">
        <v>237</v>
      </c>
    </row>
    <row r="69" spans="1:9" ht="16.5" thickTop="1" thickBot="1">
      <c r="A69" s="6">
        <v>223718</v>
      </c>
      <c r="B69" s="6">
        <v>46029</v>
      </c>
      <c r="C69" s="6">
        <v>4203</v>
      </c>
      <c r="D69" s="6" t="s">
        <v>238</v>
      </c>
      <c r="E69" s="6" t="s">
        <v>23</v>
      </c>
      <c r="F69" s="6">
        <v>2</v>
      </c>
      <c r="G69" s="8" t="s">
        <v>239</v>
      </c>
      <c r="H69" s="8" t="s">
        <v>240</v>
      </c>
      <c r="I69" s="8" t="s">
        <v>241</v>
      </c>
    </row>
    <row r="70" spans="1:9" ht="16.5" thickTop="1" thickBot="1">
      <c r="A70" s="6">
        <v>223727</v>
      </c>
      <c r="B70" s="6">
        <v>46029</v>
      </c>
      <c r="C70" s="6">
        <v>4247</v>
      </c>
      <c r="D70" s="6" t="s">
        <v>242</v>
      </c>
      <c r="E70" s="6" t="s">
        <v>23</v>
      </c>
      <c r="F70" s="6">
        <v>2</v>
      </c>
      <c r="G70" s="8" t="s">
        <v>243</v>
      </c>
      <c r="H70" s="8" t="s">
        <v>244</v>
      </c>
      <c r="I70" s="8" t="s">
        <v>245</v>
      </c>
    </row>
    <row r="71" spans="1:9" ht="16.5" thickTop="1" thickBot="1">
      <c r="A71" s="6">
        <v>223737</v>
      </c>
      <c r="B71" s="6">
        <v>46029</v>
      </c>
      <c r="C71" s="6">
        <v>4325</v>
      </c>
      <c r="D71" s="6" t="s">
        <v>246</v>
      </c>
      <c r="E71" s="6" t="s">
        <v>23</v>
      </c>
      <c r="F71" s="6">
        <v>2</v>
      </c>
      <c r="G71" s="8" t="s">
        <v>247</v>
      </c>
      <c r="H71" s="8" t="s">
        <v>248</v>
      </c>
      <c r="I71" s="8" t="s">
        <v>249</v>
      </c>
    </row>
    <row r="72" spans="1:9" ht="16.5" thickTop="1" thickBot="1">
      <c r="A72" s="6">
        <v>223741</v>
      </c>
      <c r="B72" s="6">
        <v>46029</v>
      </c>
      <c r="C72" s="6">
        <v>4342</v>
      </c>
      <c r="D72" s="6" t="s">
        <v>250</v>
      </c>
      <c r="E72" s="6" t="s">
        <v>23</v>
      </c>
      <c r="F72" s="6">
        <v>2</v>
      </c>
      <c r="G72" s="8" t="s">
        <v>251</v>
      </c>
      <c r="H72" s="8" t="s">
        <v>252</v>
      </c>
      <c r="I72" s="8" t="s">
        <v>253</v>
      </c>
    </row>
    <row r="73" spans="1:9" ht="16.5" thickTop="1" thickBot="1">
      <c r="A73" s="6">
        <v>223746</v>
      </c>
      <c r="B73" s="6">
        <v>46029</v>
      </c>
      <c r="C73" s="6">
        <v>4363</v>
      </c>
      <c r="D73" s="6" t="s">
        <v>254</v>
      </c>
      <c r="E73" s="6" t="s">
        <v>23</v>
      </c>
      <c r="F73" s="6">
        <v>1</v>
      </c>
      <c r="G73" s="8" t="s">
        <v>255</v>
      </c>
      <c r="H73" s="8">
        <v>32000</v>
      </c>
      <c r="I73" s="8" t="s">
        <v>256</v>
      </c>
    </row>
    <row r="74" spans="1:9" ht="16.5" thickTop="1" thickBot="1">
      <c r="A74" s="6">
        <v>223752</v>
      </c>
      <c r="B74" s="6">
        <v>46029</v>
      </c>
      <c r="C74" s="6">
        <v>4380</v>
      </c>
      <c r="D74" s="6" t="s">
        <v>257</v>
      </c>
      <c r="E74" s="6" t="s">
        <v>23</v>
      </c>
      <c r="F74" s="6">
        <v>1</v>
      </c>
      <c r="G74" s="8" t="s">
        <v>258</v>
      </c>
      <c r="H74" s="8">
        <v>31987</v>
      </c>
      <c r="I74" s="8" t="s">
        <v>259</v>
      </c>
    </row>
    <row r="75" spans="1:9" ht="16.5" thickTop="1" thickBot="1">
      <c r="A75" s="6">
        <v>223754</v>
      </c>
      <c r="B75" s="6">
        <v>46029</v>
      </c>
      <c r="C75" s="6">
        <v>4382</v>
      </c>
      <c r="D75" s="6" t="s">
        <v>260</v>
      </c>
      <c r="E75" s="6" t="s">
        <v>23</v>
      </c>
      <c r="F75" s="6">
        <v>3</v>
      </c>
      <c r="G75" s="8" t="s">
        <v>261</v>
      </c>
      <c r="H75" s="8" t="s">
        <v>262</v>
      </c>
      <c r="I75" s="8" t="s">
        <v>263</v>
      </c>
    </row>
    <row r="76" spans="1:9" ht="16.5" thickTop="1" thickBot="1">
      <c r="A76" s="6">
        <v>223755</v>
      </c>
      <c r="B76" s="6">
        <v>46029</v>
      </c>
      <c r="C76" s="6">
        <v>4387</v>
      </c>
      <c r="D76" s="6" t="s">
        <v>264</v>
      </c>
      <c r="E76" s="6" t="s">
        <v>23</v>
      </c>
      <c r="F76" s="6">
        <v>1</v>
      </c>
      <c r="G76" s="8" t="s">
        <v>265</v>
      </c>
      <c r="H76" s="8">
        <v>31991</v>
      </c>
      <c r="I76" s="8" t="s">
        <v>266</v>
      </c>
    </row>
    <row r="77" spans="1:9" ht="16.5" thickTop="1" thickBot="1">
      <c r="A77" s="6">
        <v>223756</v>
      </c>
      <c r="B77" s="6">
        <v>46029</v>
      </c>
      <c r="C77" s="6">
        <v>4392</v>
      </c>
      <c r="D77" s="6" t="s">
        <v>267</v>
      </c>
      <c r="E77" s="6" t="s">
        <v>23</v>
      </c>
      <c r="F77" s="6">
        <v>2</v>
      </c>
      <c r="G77" s="8" t="s">
        <v>268</v>
      </c>
      <c r="H77" s="8" t="s">
        <v>269</v>
      </c>
      <c r="I77" s="8" t="s">
        <v>270</v>
      </c>
    </row>
    <row r="78" spans="1:9" ht="16.5" thickTop="1" thickBot="1">
      <c r="A78" s="6">
        <v>223757</v>
      </c>
      <c r="B78" s="6">
        <v>46029</v>
      </c>
      <c r="C78" s="6">
        <v>4402</v>
      </c>
      <c r="D78" s="6" t="s">
        <v>271</v>
      </c>
      <c r="E78" s="6" t="s">
        <v>23</v>
      </c>
      <c r="F78" s="6">
        <v>1</v>
      </c>
      <c r="G78" s="8" t="s">
        <v>272</v>
      </c>
      <c r="H78" s="8">
        <v>31980</v>
      </c>
      <c r="I78" s="8" t="s">
        <v>273</v>
      </c>
    </row>
    <row r="79" spans="1:9" ht="16.5" thickTop="1" thickBot="1">
      <c r="A79" s="6">
        <v>223758</v>
      </c>
      <c r="B79" s="6">
        <v>46029</v>
      </c>
      <c r="C79" s="6">
        <v>4413</v>
      </c>
      <c r="D79" s="6" t="s">
        <v>274</v>
      </c>
      <c r="E79" s="6" t="s">
        <v>23</v>
      </c>
      <c r="F79" s="6">
        <v>2</v>
      </c>
      <c r="G79" s="8" t="s">
        <v>275</v>
      </c>
      <c r="H79" s="8" t="s">
        <v>276</v>
      </c>
      <c r="I79" s="8" t="s">
        <v>277</v>
      </c>
    </row>
    <row r="80" spans="1:9" ht="16.5" thickTop="1" thickBot="1">
      <c r="A80" s="6">
        <v>223759</v>
      </c>
      <c r="B80" s="6">
        <v>46029</v>
      </c>
      <c r="C80" s="6">
        <v>4415</v>
      </c>
      <c r="D80" s="6" t="s">
        <v>278</v>
      </c>
      <c r="E80" s="6" t="s">
        <v>23</v>
      </c>
      <c r="F80" s="6">
        <v>2</v>
      </c>
      <c r="G80" s="8" t="s">
        <v>279</v>
      </c>
      <c r="H80" s="8" t="s">
        <v>280</v>
      </c>
      <c r="I80" s="8" t="s">
        <v>281</v>
      </c>
    </row>
    <row r="81" spans="1:9" ht="16.5" thickTop="1" thickBot="1">
      <c r="A81" s="6">
        <v>223760</v>
      </c>
      <c r="B81" s="6">
        <v>46029</v>
      </c>
      <c r="C81" s="6">
        <v>4419</v>
      </c>
      <c r="D81" s="6" t="s">
        <v>282</v>
      </c>
      <c r="E81" s="6" t="s">
        <v>23</v>
      </c>
      <c r="F81" s="6">
        <v>1</v>
      </c>
      <c r="G81" s="8" t="s">
        <v>283</v>
      </c>
      <c r="H81" s="8">
        <v>31985</v>
      </c>
      <c r="I81" s="8" t="s">
        <v>284</v>
      </c>
    </row>
    <row r="82" spans="1:9" ht="16.5" thickTop="1" thickBot="1">
      <c r="A82" s="6">
        <v>223761</v>
      </c>
      <c r="B82" s="6">
        <v>46029</v>
      </c>
      <c r="C82" s="6">
        <v>4430</v>
      </c>
      <c r="D82" s="6" t="s">
        <v>285</v>
      </c>
      <c r="E82" s="6" t="s">
        <v>23</v>
      </c>
      <c r="F82" s="6">
        <v>2</v>
      </c>
      <c r="G82" s="8" t="s">
        <v>286</v>
      </c>
      <c r="H82" s="8" t="s">
        <v>287</v>
      </c>
      <c r="I82" s="8">
        <v>2535</v>
      </c>
    </row>
    <row r="83" spans="1:9" ht="16.5" thickTop="1" thickBot="1">
      <c r="A83" s="6">
        <v>223766</v>
      </c>
      <c r="B83" s="6">
        <v>46029</v>
      </c>
      <c r="C83" s="6">
        <v>4446</v>
      </c>
      <c r="D83" s="6" t="s">
        <v>288</v>
      </c>
      <c r="E83" s="6" t="s">
        <v>23</v>
      </c>
      <c r="F83" s="6">
        <v>3</v>
      </c>
      <c r="G83" s="8" t="s">
        <v>289</v>
      </c>
      <c r="H83" s="8" t="s">
        <v>290</v>
      </c>
      <c r="I83" s="8">
        <v>2542</v>
      </c>
    </row>
    <row r="84" spans="1:9" ht="16.5" thickTop="1" thickBot="1">
      <c r="A84" s="6">
        <v>223768</v>
      </c>
      <c r="B84" s="6">
        <v>46029</v>
      </c>
      <c r="C84" s="6">
        <v>4449</v>
      </c>
      <c r="D84" s="6" t="s">
        <v>291</v>
      </c>
      <c r="E84" s="6" t="s">
        <v>23</v>
      </c>
      <c r="F84" s="6">
        <v>2</v>
      </c>
      <c r="G84" s="8" t="s">
        <v>292</v>
      </c>
      <c r="H84" s="8" t="s">
        <v>293</v>
      </c>
      <c r="I84" s="8">
        <v>2540</v>
      </c>
    </row>
    <row r="85" spans="1:9" ht="16.5" thickTop="1" thickBot="1">
      <c r="A85" s="6">
        <v>223773</v>
      </c>
      <c r="B85" s="6">
        <v>46029</v>
      </c>
      <c r="C85" s="6">
        <v>4471</v>
      </c>
      <c r="D85" s="6" t="s">
        <v>294</v>
      </c>
      <c r="E85" s="6" t="s">
        <v>23</v>
      </c>
      <c r="F85" s="6">
        <v>1</v>
      </c>
      <c r="G85" s="8" t="s">
        <v>295</v>
      </c>
      <c r="H85" s="8">
        <v>31979</v>
      </c>
      <c r="I85" s="8">
        <v>2541</v>
      </c>
    </row>
    <row r="86" spans="1:9" ht="15" thickTop="1"/>
  </sheetData>
  <autoFilter ref="A1:I85"/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81"/>
  <sheetViews>
    <sheetView showGridLines="0" topLeftCell="B1" workbookViewId="0">
      <pane ySplit="1" topLeftCell="A18" activePane="bottomLeft" state="frozen"/>
      <selection pane="bottomLeft" activeCell="D54" sqref="D54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5" customWidth="1"/>
    <col min="9" max="9" width="16.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223778</v>
      </c>
      <c r="B2" s="6">
        <v>46060</v>
      </c>
      <c r="C2" s="6">
        <v>2003</v>
      </c>
      <c r="D2" s="6" t="s">
        <v>296</v>
      </c>
      <c r="E2" s="6" t="s">
        <v>23</v>
      </c>
      <c r="F2" s="6">
        <v>1</v>
      </c>
      <c r="G2" s="7" t="s">
        <v>297</v>
      </c>
      <c r="H2" s="8">
        <v>32187</v>
      </c>
      <c r="I2" s="8">
        <v>2511</v>
      </c>
    </row>
    <row r="3" spans="1:9" ht="16.5" thickTop="1" thickBot="1">
      <c r="A3" s="6">
        <v>223823</v>
      </c>
      <c r="B3" s="6">
        <v>46060</v>
      </c>
      <c r="C3" s="6">
        <v>2214</v>
      </c>
      <c r="D3" s="6" t="s">
        <v>298</v>
      </c>
      <c r="E3" s="6" t="s">
        <v>23</v>
      </c>
      <c r="F3" s="6">
        <v>1</v>
      </c>
      <c r="G3" s="7" t="s">
        <v>299</v>
      </c>
      <c r="H3" s="8">
        <v>32188</v>
      </c>
      <c r="I3" s="8">
        <v>2510</v>
      </c>
    </row>
    <row r="4" spans="1:9" ht="16.5" thickTop="1" thickBot="1">
      <c r="A4" s="6">
        <v>223854</v>
      </c>
      <c r="B4" s="6">
        <v>46060</v>
      </c>
      <c r="C4" s="6">
        <v>2320</v>
      </c>
      <c r="D4" s="6" t="s">
        <v>300</v>
      </c>
      <c r="E4" s="6" t="s">
        <v>23</v>
      </c>
      <c r="F4" s="6">
        <v>1</v>
      </c>
      <c r="G4" s="7" t="s">
        <v>301</v>
      </c>
      <c r="H4" s="8">
        <v>32189</v>
      </c>
      <c r="I4" s="8">
        <v>2509</v>
      </c>
    </row>
    <row r="5" spans="1:9" ht="16.5" thickTop="1" thickBot="1">
      <c r="A5" s="6">
        <v>223858</v>
      </c>
      <c r="B5" s="6">
        <v>46060</v>
      </c>
      <c r="C5" s="6">
        <v>2334</v>
      </c>
      <c r="D5" s="6" t="s">
        <v>302</v>
      </c>
      <c r="E5" s="6" t="s">
        <v>10</v>
      </c>
      <c r="F5" s="6">
        <v>4</v>
      </c>
      <c r="G5" s="7" t="s">
        <v>303</v>
      </c>
      <c r="H5" s="8" t="s">
        <v>304</v>
      </c>
      <c r="I5" s="8">
        <v>2508</v>
      </c>
    </row>
    <row r="6" spans="1:9" ht="16.5" thickTop="1" thickBot="1">
      <c r="A6" s="6">
        <v>223869</v>
      </c>
      <c r="B6" s="6">
        <v>46060</v>
      </c>
      <c r="C6" s="6">
        <v>2370</v>
      </c>
      <c r="D6" s="6" t="s">
        <v>305</v>
      </c>
      <c r="E6" s="6" t="s">
        <v>10</v>
      </c>
      <c r="F6" s="6">
        <v>3</v>
      </c>
      <c r="G6" s="7" t="s">
        <v>306</v>
      </c>
      <c r="H6" s="8" t="s">
        <v>307</v>
      </c>
      <c r="I6" s="8">
        <v>2507</v>
      </c>
    </row>
    <row r="7" spans="1:9" ht="16.5" thickTop="1" thickBot="1">
      <c r="A7" s="6">
        <v>223872</v>
      </c>
      <c r="B7" s="6">
        <v>46060</v>
      </c>
      <c r="C7" s="6">
        <v>2387</v>
      </c>
      <c r="D7" s="6" t="s">
        <v>308</v>
      </c>
      <c r="E7" s="6" t="s">
        <v>10</v>
      </c>
      <c r="F7" s="6">
        <v>4</v>
      </c>
      <c r="G7" s="7" t="s">
        <v>309</v>
      </c>
      <c r="H7" s="8" t="s">
        <v>310</v>
      </c>
      <c r="I7" s="8">
        <v>2515</v>
      </c>
    </row>
    <row r="8" spans="1:9" ht="16.5" thickTop="1" thickBot="1">
      <c r="A8" s="6">
        <v>223888</v>
      </c>
      <c r="B8" s="6">
        <v>46060</v>
      </c>
      <c r="C8" s="6">
        <v>2457</v>
      </c>
      <c r="D8" s="6" t="s">
        <v>311</v>
      </c>
      <c r="E8" s="6" t="s">
        <v>23</v>
      </c>
      <c r="F8" s="6">
        <v>1</v>
      </c>
      <c r="G8" s="7" t="s">
        <v>312</v>
      </c>
      <c r="H8" s="8">
        <v>32105</v>
      </c>
      <c r="I8" s="8">
        <v>2516</v>
      </c>
    </row>
    <row r="9" spans="1:9" ht="16.5" thickTop="1" thickBot="1">
      <c r="A9" s="6">
        <v>223894</v>
      </c>
      <c r="B9" s="6">
        <v>46060</v>
      </c>
      <c r="C9" s="6">
        <v>4024</v>
      </c>
      <c r="D9" s="6" t="s">
        <v>313</v>
      </c>
      <c r="E9" s="6" t="s">
        <v>10</v>
      </c>
      <c r="F9" s="6">
        <v>3</v>
      </c>
      <c r="G9" s="12" t="s">
        <v>314</v>
      </c>
      <c r="H9" s="8" t="s">
        <v>315</v>
      </c>
      <c r="I9" s="8">
        <v>2517</v>
      </c>
    </row>
    <row r="10" spans="1:9" ht="16.5" thickTop="1" thickBot="1">
      <c r="A10" s="6">
        <v>223904</v>
      </c>
      <c r="B10" s="6">
        <v>46060</v>
      </c>
      <c r="C10" s="6">
        <v>4080</v>
      </c>
      <c r="D10" s="6" t="s">
        <v>316</v>
      </c>
      <c r="E10" s="6" t="s">
        <v>23</v>
      </c>
      <c r="F10" s="6">
        <v>1</v>
      </c>
      <c r="G10" s="7" t="s">
        <v>317</v>
      </c>
      <c r="H10" s="8">
        <v>32106</v>
      </c>
      <c r="I10" s="8">
        <v>2518</v>
      </c>
    </row>
    <row r="11" spans="1:9" ht="16.5" thickTop="1" thickBot="1">
      <c r="A11" s="6">
        <v>223911</v>
      </c>
      <c r="B11" s="6">
        <v>46060</v>
      </c>
      <c r="C11" s="6">
        <v>4096</v>
      </c>
      <c r="D11" s="6" t="s">
        <v>318</v>
      </c>
      <c r="E11" s="6" t="s">
        <v>10</v>
      </c>
      <c r="F11" s="6">
        <v>5</v>
      </c>
      <c r="G11" s="7" t="s">
        <v>319</v>
      </c>
      <c r="H11" s="8" t="s">
        <v>320</v>
      </c>
      <c r="I11" s="8">
        <v>2519</v>
      </c>
    </row>
    <row r="12" spans="1:9" ht="16.5" thickTop="1" thickBot="1">
      <c r="A12" s="6">
        <v>223915</v>
      </c>
      <c r="B12" s="6">
        <v>46060</v>
      </c>
      <c r="C12" s="6">
        <v>4115</v>
      </c>
      <c r="D12" s="6" t="s">
        <v>321</v>
      </c>
      <c r="E12" s="6" t="s">
        <v>10</v>
      </c>
      <c r="F12" s="6">
        <v>5</v>
      </c>
      <c r="G12" s="7" t="s">
        <v>322</v>
      </c>
      <c r="H12" s="8" t="s">
        <v>323</v>
      </c>
      <c r="I12" s="8">
        <v>2520</v>
      </c>
    </row>
    <row r="13" spans="1:9" ht="16.5" thickTop="1" thickBot="1">
      <c r="A13" s="6">
        <v>223934</v>
      </c>
      <c r="B13" s="6">
        <v>46060</v>
      </c>
      <c r="C13" s="6">
        <v>4182</v>
      </c>
      <c r="D13" s="6" t="s">
        <v>324</v>
      </c>
      <c r="E13" s="6" t="s">
        <v>23</v>
      </c>
      <c r="F13" s="6">
        <v>1</v>
      </c>
      <c r="G13" s="7" t="s">
        <v>325</v>
      </c>
      <c r="H13" s="8">
        <v>32089</v>
      </c>
      <c r="I13" s="8">
        <v>2506</v>
      </c>
    </row>
    <row r="14" spans="1:9" ht="16.5" thickTop="1" thickBot="1">
      <c r="A14" s="6">
        <v>223959</v>
      </c>
      <c r="B14" s="6">
        <v>46060</v>
      </c>
      <c r="C14" s="6">
        <v>4299</v>
      </c>
      <c r="D14" s="6" t="s">
        <v>326</v>
      </c>
      <c r="E14" s="6" t="s">
        <v>23</v>
      </c>
      <c r="F14" s="6">
        <v>2</v>
      </c>
      <c r="G14" s="7" t="s">
        <v>327</v>
      </c>
      <c r="H14" s="8" t="s">
        <v>328</v>
      </c>
      <c r="I14" s="8">
        <v>2497</v>
      </c>
    </row>
    <row r="15" spans="1:9" ht="16.5" thickTop="1" thickBot="1">
      <c r="A15" s="6">
        <v>223961</v>
      </c>
      <c r="B15" s="6">
        <v>46060</v>
      </c>
      <c r="C15" s="6">
        <v>4308</v>
      </c>
      <c r="D15" s="6" t="s">
        <v>63</v>
      </c>
      <c r="E15" s="6" t="s">
        <v>23</v>
      </c>
      <c r="F15" s="6">
        <v>1</v>
      </c>
      <c r="G15" s="7" t="s">
        <v>329</v>
      </c>
      <c r="H15" s="8">
        <v>32097</v>
      </c>
      <c r="I15" s="8">
        <v>2498</v>
      </c>
    </row>
    <row r="16" spans="1:9" ht="16.5" thickTop="1" thickBot="1">
      <c r="A16" s="6">
        <v>223971</v>
      </c>
      <c r="B16" s="6">
        <v>46060</v>
      </c>
      <c r="C16" s="6">
        <v>4345</v>
      </c>
      <c r="D16" s="6" t="s">
        <v>330</v>
      </c>
      <c r="E16" s="6" t="s">
        <v>10</v>
      </c>
      <c r="F16" s="6">
        <v>3</v>
      </c>
      <c r="G16" s="7" t="s">
        <v>331</v>
      </c>
      <c r="H16" s="8" t="s">
        <v>332</v>
      </c>
      <c r="I16" s="8">
        <v>1485</v>
      </c>
    </row>
    <row r="17" spans="1:9" ht="16.5" thickTop="1" thickBot="1">
      <c r="A17" s="6">
        <v>223972</v>
      </c>
      <c r="B17" s="6">
        <v>46060</v>
      </c>
      <c r="C17" s="6">
        <v>4346</v>
      </c>
      <c r="D17" s="6" t="s">
        <v>333</v>
      </c>
      <c r="E17" s="6" t="s">
        <v>10</v>
      </c>
      <c r="F17" s="6">
        <v>2</v>
      </c>
      <c r="G17" s="7" t="s">
        <v>334</v>
      </c>
      <c r="H17" s="8" t="s">
        <v>335</v>
      </c>
      <c r="I17" s="8">
        <v>2502</v>
      </c>
    </row>
    <row r="18" spans="1:9" ht="16.5" thickTop="1" thickBot="1">
      <c r="A18" s="6">
        <v>223779</v>
      </c>
      <c r="B18" s="6">
        <v>46060</v>
      </c>
      <c r="C18" s="6">
        <v>2006</v>
      </c>
      <c r="D18" s="6" t="s">
        <v>336</v>
      </c>
      <c r="E18" s="6" t="s">
        <v>23</v>
      </c>
      <c r="F18" s="6">
        <v>2</v>
      </c>
      <c r="G18" s="7" t="s">
        <v>337</v>
      </c>
      <c r="H18" s="8" t="s">
        <v>338</v>
      </c>
      <c r="I18" s="8">
        <v>2503</v>
      </c>
    </row>
    <row r="19" spans="1:9" ht="16.5" thickTop="1" thickBot="1">
      <c r="A19" s="6">
        <v>223789</v>
      </c>
      <c r="B19" s="6">
        <v>46060</v>
      </c>
      <c r="C19" s="6">
        <v>2050</v>
      </c>
      <c r="D19" s="6" t="s">
        <v>339</v>
      </c>
      <c r="E19" s="6" t="s">
        <v>23</v>
      </c>
      <c r="F19" s="6">
        <v>3</v>
      </c>
      <c r="G19" s="7" t="s">
        <v>340</v>
      </c>
      <c r="H19" s="8" t="s">
        <v>341</v>
      </c>
      <c r="I19" s="8">
        <v>2504</v>
      </c>
    </row>
    <row r="20" spans="1:9" ht="16.5" thickTop="1" thickBot="1">
      <c r="A20" s="6">
        <v>223791</v>
      </c>
      <c r="B20" s="6">
        <v>46060</v>
      </c>
      <c r="C20" s="6">
        <v>2065</v>
      </c>
      <c r="D20" s="6" t="s">
        <v>342</v>
      </c>
      <c r="E20" s="6" t="s">
        <v>23</v>
      </c>
      <c r="F20" s="6">
        <v>2</v>
      </c>
      <c r="G20" s="7" t="s">
        <v>343</v>
      </c>
      <c r="H20" s="8" t="s">
        <v>344</v>
      </c>
      <c r="I20" s="8">
        <v>2501</v>
      </c>
    </row>
    <row r="21" spans="1:9" ht="16.5" thickTop="1" thickBot="1">
      <c r="A21" s="6">
        <v>223800</v>
      </c>
      <c r="B21" s="6">
        <v>46060</v>
      </c>
      <c r="C21" s="6">
        <v>2103</v>
      </c>
      <c r="D21" s="6" t="s">
        <v>345</v>
      </c>
      <c r="E21" s="6" t="s">
        <v>23</v>
      </c>
      <c r="F21" s="6">
        <v>2</v>
      </c>
      <c r="G21" s="7" t="s">
        <v>346</v>
      </c>
      <c r="H21" s="8" t="s">
        <v>347</v>
      </c>
      <c r="I21" s="8">
        <v>2505</v>
      </c>
    </row>
    <row r="22" spans="1:9" ht="16.5" thickTop="1" thickBot="1">
      <c r="A22" s="6">
        <v>223801</v>
      </c>
      <c r="B22" s="6">
        <v>46060</v>
      </c>
      <c r="C22" s="6">
        <v>2114</v>
      </c>
      <c r="D22" s="6" t="s">
        <v>348</v>
      </c>
      <c r="E22" s="6" t="s">
        <v>23</v>
      </c>
      <c r="F22" s="6">
        <v>2</v>
      </c>
      <c r="G22" s="7" t="s">
        <v>349</v>
      </c>
      <c r="H22" s="8" t="s">
        <v>350</v>
      </c>
      <c r="I22" s="8">
        <v>2514</v>
      </c>
    </row>
    <row r="23" spans="1:9" ht="16.5" thickTop="1" thickBot="1">
      <c r="A23" s="6">
        <v>223806</v>
      </c>
      <c r="B23" s="6">
        <v>46060</v>
      </c>
      <c r="C23" s="6">
        <v>2151</v>
      </c>
      <c r="D23" s="6" t="s">
        <v>351</v>
      </c>
      <c r="E23" s="6" t="s">
        <v>23</v>
      </c>
      <c r="F23" s="6">
        <v>1</v>
      </c>
      <c r="G23" s="7" t="s">
        <v>352</v>
      </c>
      <c r="H23" s="8">
        <v>32108</v>
      </c>
      <c r="I23" s="8">
        <v>2488</v>
      </c>
    </row>
    <row r="24" spans="1:9" ht="16.5" thickTop="1" thickBot="1">
      <c r="A24" s="6">
        <v>223808</v>
      </c>
      <c r="B24" s="6">
        <v>46060</v>
      </c>
      <c r="C24" s="6">
        <v>2155</v>
      </c>
      <c r="D24" s="6" t="s">
        <v>353</v>
      </c>
      <c r="E24" s="6" t="s">
        <v>23</v>
      </c>
      <c r="F24" s="6">
        <v>1</v>
      </c>
      <c r="G24" s="7" t="s">
        <v>354</v>
      </c>
      <c r="H24" s="8">
        <v>32100</v>
      </c>
      <c r="I24" s="8">
        <v>2496</v>
      </c>
    </row>
    <row r="25" spans="1:9" ht="16.5" thickTop="1" thickBot="1">
      <c r="A25" s="6">
        <v>223809</v>
      </c>
      <c r="B25" s="6">
        <v>46060</v>
      </c>
      <c r="C25" s="6">
        <v>2156</v>
      </c>
      <c r="D25" s="6" t="s">
        <v>355</v>
      </c>
      <c r="E25" s="6" t="s">
        <v>23</v>
      </c>
      <c r="F25" s="6">
        <v>2</v>
      </c>
      <c r="G25" s="7" t="s">
        <v>356</v>
      </c>
      <c r="H25" s="8" t="s">
        <v>357</v>
      </c>
      <c r="I25" s="8">
        <v>2495</v>
      </c>
    </row>
    <row r="26" spans="1:9" ht="16.5" thickTop="1" thickBot="1">
      <c r="A26" s="6">
        <v>223814</v>
      </c>
      <c r="B26" s="6">
        <v>46060</v>
      </c>
      <c r="C26" s="6">
        <v>2192</v>
      </c>
      <c r="D26" s="6" t="s">
        <v>358</v>
      </c>
      <c r="E26" s="6" t="s">
        <v>23</v>
      </c>
      <c r="F26" s="6">
        <v>1</v>
      </c>
      <c r="G26" s="7" t="s">
        <v>359</v>
      </c>
      <c r="H26" s="8">
        <v>32190</v>
      </c>
      <c r="I26" s="8">
        <v>2493</v>
      </c>
    </row>
    <row r="27" spans="1:9" ht="16.5" thickTop="1" thickBot="1">
      <c r="A27" s="6">
        <v>223817</v>
      </c>
      <c r="B27" s="6">
        <v>46060</v>
      </c>
      <c r="C27" s="6">
        <v>2202</v>
      </c>
      <c r="D27" s="6" t="s">
        <v>360</v>
      </c>
      <c r="E27" s="6" t="s">
        <v>23</v>
      </c>
      <c r="F27" s="6">
        <v>2</v>
      </c>
      <c r="G27" s="7" t="s">
        <v>361</v>
      </c>
      <c r="H27" s="8" t="s">
        <v>362</v>
      </c>
      <c r="I27" s="8">
        <v>2491</v>
      </c>
    </row>
    <row r="28" spans="1:9" ht="16.5" thickTop="1" thickBot="1">
      <c r="A28" s="6">
        <v>223828</v>
      </c>
      <c r="B28" s="6">
        <v>46060</v>
      </c>
      <c r="C28" s="6">
        <v>2233</v>
      </c>
      <c r="D28" s="6" t="s">
        <v>363</v>
      </c>
      <c r="E28" s="6" t="s">
        <v>23</v>
      </c>
      <c r="F28" s="6">
        <v>3</v>
      </c>
      <c r="G28" s="7" t="s">
        <v>364</v>
      </c>
      <c r="H28" s="8" t="s">
        <v>365</v>
      </c>
      <c r="I28" s="8">
        <v>2490</v>
      </c>
    </row>
    <row r="29" spans="1:9" ht="16.5" thickTop="1" thickBot="1">
      <c r="A29" s="6">
        <v>223829</v>
      </c>
      <c r="B29" s="6">
        <v>46060</v>
      </c>
      <c r="C29" s="6">
        <v>2240</v>
      </c>
      <c r="D29" s="6" t="s">
        <v>366</v>
      </c>
      <c r="E29" s="6" t="s">
        <v>23</v>
      </c>
      <c r="F29" s="6">
        <v>2</v>
      </c>
      <c r="G29" s="7" t="s">
        <v>367</v>
      </c>
      <c r="H29" s="8" t="s">
        <v>368</v>
      </c>
      <c r="I29" s="8">
        <v>2489</v>
      </c>
    </row>
    <row r="30" spans="1:9" ht="16.5" thickTop="1" thickBot="1">
      <c r="A30" s="6">
        <v>223832</v>
      </c>
      <c r="B30" s="6">
        <v>46060</v>
      </c>
      <c r="C30" s="6">
        <v>2244</v>
      </c>
      <c r="D30" s="6" t="s">
        <v>369</v>
      </c>
      <c r="E30" s="6" t="s">
        <v>23</v>
      </c>
      <c r="F30" s="6">
        <v>2</v>
      </c>
      <c r="G30" s="7" t="s">
        <v>370</v>
      </c>
      <c r="H30" s="8" t="s">
        <v>371</v>
      </c>
      <c r="I30" s="8">
        <v>2492</v>
      </c>
    </row>
    <row r="31" spans="1:9" ht="16.5" thickTop="1" thickBot="1">
      <c r="A31" s="6">
        <v>223834</v>
      </c>
      <c r="B31" s="6">
        <v>46060</v>
      </c>
      <c r="C31" s="6">
        <v>2250</v>
      </c>
      <c r="D31" s="6" t="s">
        <v>372</v>
      </c>
      <c r="E31" s="6" t="s">
        <v>23</v>
      </c>
      <c r="F31" s="6">
        <v>1</v>
      </c>
      <c r="G31" s="7" t="s">
        <v>373</v>
      </c>
      <c r="H31" s="8">
        <v>32173</v>
      </c>
      <c r="I31" s="8">
        <v>2486</v>
      </c>
    </row>
    <row r="32" spans="1:9" ht="16.5" thickTop="1" thickBot="1">
      <c r="A32" s="6">
        <v>223835</v>
      </c>
      <c r="B32" s="6">
        <v>46060</v>
      </c>
      <c r="C32" s="6">
        <v>2252</v>
      </c>
      <c r="D32" s="6" t="s">
        <v>374</v>
      </c>
      <c r="E32" s="6" t="s">
        <v>23</v>
      </c>
      <c r="F32" s="6">
        <v>1</v>
      </c>
      <c r="G32" s="7" t="s">
        <v>375</v>
      </c>
      <c r="H32" s="8">
        <v>32174</v>
      </c>
      <c r="I32" s="8">
        <v>2485</v>
      </c>
    </row>
    <row r="33" spans="1:9" ht="16.5" thickTop="1" thickBot="1">
      <c r="A33" s="6">
        <v>223836</v>
      </c>
      <c r="B33" s="6">
        <v>46060</v>
      </c>
      <c r="C33" s="6">
        <v>2255</v>
      </c>
      <c r="D33" s="6" t="s">
        <v>376</v>
      </c>
      <c r="E33" s="6" t="s">
        <v>23</v>
      </c>
      <c r="F33" s="6">
        <v>1</v>
      </c>
      <c r="G33" s="7" t="s">
        <v>377</v>
      </c>
      <c r="H33" s="8">
        <v>32175</v>
      </c>
      <c r="I33" s="8">
        <v>2512</v>
      </c>
    </row>
    <row r="34" spans="1:9" ht="16.5" thickTop="1" thickBot="1">
      <c r="A34" s="6">
        <v>223838</v>
      </c>
      <c r="B34" s="6">
        <v>46060</v>
      </c>
      <c r="C34" s="6">
        <v>2264</v>
      </c>
      <c r="D34" s="6" t="s">
        <v>378</v>
      </c>
      <c r="E34" s="6" t="s">
        <v>23</v>
      </c>
      <c r="F34" s="6">
        <v>1</v>
      </c>
      <c r="G34" s="7" t="s">
        <v>379</v>
      </c>
      <c r="H34" s="8">
        <v>32180</v>
      </c>
      <c r="I34" s="8">
        <v>2513</v>
      </c>
    </row>
    <row r="35" spans="1:9" ht="16.5" thickTop="1" thickBot="1">
      <c r="A35" s="6">
        <v>223839</v>
      </c>
      <c r="B35" s="6">
        <v>46060</v>
      </c>
      <c r="C35" s="6">
        <v>2269</v>
      </c>
      <c r="D35" s="6" t="s">
        <v>380</v>
      </c>
      <c r="E35" s="6" t="s">
        <v>23</v>
      </c>
      <c r="F35" s="6">
        <v>1</v>
      </c>
      <c r="G35" s="7" t="s">
        <v>381</v>
      </c>
      <c r="H35" s="8">
        <v>32169</v>
      </c>
      <c r="I35" s="8">
        <v>2544</v>
      </c>
    </row>
    <row r="36" spans="1:9" ht="16.5" thickTop="1" thickBot="1">
      <c r="A36" s="6">
        <v>223840</v>
      </c>
      <c r="B36" s="6">
        <v>46060</v>
      </c>
      <c r="C36" s="6">
        <v>2271</v>
      </c>
      <c r="D36" s="6" t="s">
        <v>382</v>
      </c>
      <c r="E36" s="6" t="s">
        <v>23</v>
      </c>
      <c r="F36" s="6">
        <v>1</v>
      </c>
      <c r="G36" s="8" t="s">
        <v>383</v>
      </c>
      <c r="H36" s="8">
        <v>32170</v>
      </c>
      <c r="I36" s="8">
        <v>2451</v>
      </c>
    </row>
    <row r="37" spans="1:9" ht="16.5" thickTop="1" thickBot="1">
      <c r="A37" s="6">
        <v>223842</v>
      </c>
      <c r="B37" s="6">
        <v>46060</v>
      </c>
      <c r="C37" s="6">
        <v>2273</v>
      </c>
      <c r="D37" s="6" t="s">
        <v>384</v>
      </c>
      <c r="E37" s="6" t="s">
        <v>23</v>
      </c>
      <c r="F37" s="6">
        <v>1</v>
      </c>
      <c r="G37" s="8" t="s">
        <v>385</v>
      </c>
      <c r="H37" s="8">
        <v>32171</v>
      </c>
      <c r="I37" s="8">
        <v>2460</v>
      </c>
    </row>
    <row r="38" spans="1:9" ht="16.5" thickTop="1" thickBot="1">
      <c r="A38" s="6">
        <v>223844</v>
      </c>
      <c r="B38" s="6">
        <v>46060</v>
      </c>
      <c r="C38" s="6">
        <v>2277</v>
      </c>
      <c r="D38" s="6" t="s">
        <v>386</v>
      </c>
      <c r="E38" s="6" t="s">
        <v>23</v>
      </c>
      <c r="F38" s="6">
        <v>1</v>
      </c>
      <c r="G38" s="8" t="s">
        <v>387</v>
      </c>
      <c r="H38" s="8">
        <v>32176</v>
      </c>
      <c r="I38" s="8">
        <v>2456</v>
      </c>
    </row>
    <row r="39" spans="1:9" ht="16.5" thickTop="1" thickBot="1">
      <c r="A39" s="6">
        <v>223845</v>
      </c>
      <c r="B39" s="6">
        <v>46060</v>
      </c>
      <c r="C39" s="6">
        <v>2283</v>
      </c>
      <c r="D39" s="6" t="s">
        <v>388</v>
      </c>
      <c r="E39" s="6" t="s">
        <v>23</v>
      </c>
      <c r="F39" s="6">
        <v>3</v>
      </c>
      <c r="G39" s="8" t="s">
        <v>389</v>
      </c>
      <c r="H39" s="8" t="s">
        <v>390</v>
      </c>
      <c r="I39" s="8">
        <v>2464</v>
      </c>
    </row>
    <row r="40" spans="1:9" ht="16.5" thickTop="1" thickBot="1">
      <c r="A40" s="6">
        <v>223856</v>
      </c>
      <c r="B40" s="6">
        <v>46060</v>
      </c>
      <c r="C40" s="6">
        <v>2324</v>
      </c>
      <c r="D40" s="6" t="s">
        <v>391</v>
      </c>
      <c r="E40" s="6" t="s">
        <v>23</v>
      </c>
      <c r="F40" s="6">
        <v>2</v>
      </c>
      <c r="G40" s="8" t="s">
        <v>392</v>
      </c>
      <c r="H40" s="8" t="s">
        <v>393</v>
      </c>
      <c r="I40" s="8">
        <v>2455</v>
      </c>
    </row>
    <row r="41" spans="1:9" ht="16.5" thickTop="1" thickBot="1">
      <c r="A41" s="6">
        <v>223860</v>
      </c>
      <c r="B41" s="6">
        <v>46060</v>
      </c>
      <c r="C41" s="6">
        <v>2340</v>
      </c>
      <c r="D41" s="6" t="s">
        <v>394</v>
      </c>
      <c r="E41" s="6" t="s">
        <v>23</v>
      </c>
      <c r="F41" s="6">
        <v>2</v>
      </c>
      <c r="G41" s="8" t="s">
        <v>395</v>
      </c>
      <c r="H41" s="8" t="s">
        <v>396</v>
      </c>
      <c r="I41" s="8">
        <v>2453</v>
      </c>
    </row>
    <row r="42" spans="1:9" ht="16.5" thickTop="1" thickBot="1">
      <c r="A42" s="6">
        <v>223862</v>
      </c>
      <c r="B42" s="6">
        <v>46060</v>
      </c>
      <c r="C42" s="6">
        <v>2354</v>
      </c>
      <c r="D42" s="6" t="s">
        <v>397</v>
      </c>
      <c r="E42" s="6" t="s">
        <v>23</v>
      </c>
      <c r="F42" s="6">
        <v>2</v>
      </c>
      <c r="G42" s="8" t="s">
        <v>398</v>
      </c>
      <c r="H42" s="8" t="s">
        <v>399</v>
      </c>
      <c r="I42" s="8">
        <v>2545</v>
      </c>
    </row>
    <row r="43" spans="1:9" ht="16.5" thickTop="1" thickBot="1">
      <c r="A43" s="6">
        <v>223865</v>
      </c>
      <c r="B43" s="6">
        <v>46060</v>
      </c>
      <c r="C43" s="6">
        <v>2364</v>
      </c>
      <c r="D43" s="6" t="s">
        <v>400</v>
      </c>
      <c r="E43" s="6" t="s">
        <v>23</v>
      </c>
      <c r="F43" s="6">
        <v>1</v>
      </c>
      <c r="G43" s="8" t="s">
        <v>401</v>
      </c>
      <c r="H43" s="8">
        <v>32178</v>
      </c>
      <c r="I43" s="8">
        <v>2546</v>
      </c>
    </row>
    <row r="44" spans="1:9" ht="16.5" thickTop="1" thickBot="1">
      <c r="A44" s="6">
        <v>223870</v>
      </c>
      <c r="B44" s="6">
        <v>46060</v>
      </c>
      <c r="C44" s="6">
        <v>2372</v>
      </c>
      <c r="D44" s="6" t="s">
        <v>402</v>
      </c>
      <c r="E44" s="6" t="s">
        <v>23</v>
      </c>
      <c r="F44" s="6">
        <v>1</v>
      </c>
      <c r="G44" s="8" t="s">
        <v>403</v>
      </c>
      <c r="H44" s="8">
        <v>32179</v>
      </c>
      <c r="I44" s="8">
        <v>2457</v>
      </c>
    </row>
    <row r="45" spans="1:9" ht="16.5" thickTop="1" thickBot="1">
      <c r="A45" s="6">
        <v>223873</v>
      </c>
      <c r="B45" s="6">
        <v>46060</v>
      </c>
      <c r="C45" s="6">
        <v>2391</v>
      </c>
      <c r="D45" s="6" t="s">
        <v>404</v>
      </c>
      <c r="E45" s="6" t="s">
        <v>23</v>
      </c>
      <c r="F45" s="6">
        <v>1</v>
      </c>
      <c r="G45" s="8" t="s">
        <v>405</v>
      </c>
      <c r="H45" s="8">
        <v>32164</v>
      </c>
      <c r="I45" s="8">
        <v>2463</v>
      </c>
    </row>
    <row r="46" spans="1:9" ht="16.5" thickTop="1" thickBot="1">
      <c r="A46" s="6">
        <v>223878</v>
      </c>
      <c r="B46" s="6">
        <v>46060</v>
      </c>
      <c r="C46" s="6">
        <v>2415</v>
      </c>
      <c r="D46" s="6" t="s">
        <v>406</v>
      </c>
      <c r="E46" s="6" t="s">
        <v>23</v>
      </c>
      <c r="F46" s="6">
        <v>1</v>
      </c>
      <c r="G46" s="8" t="s">
        <v>407</v>
      </c>
      <c r="H46" s="8">
        <v>32165</v>
      </c>
      <c r="I46" s="8">
        <v>2459</v>
      </c>
    </row>
    <row r="47" spans="1:9" ht="16.5" thickTop="1" thickBot="1">
      <c r="A47" s="6">
        <v>223879</v>
      </c>
      <c r="B47" s="6">
        <v>46060</v>
      </c>
      <c r="C47" s="6">
        <v>2420</v>
      </c>
      <c r="D47" s="6" t="s">
        <v>408</v>
      </c>
      <c r="E47" s="6" t="s">
        <v>23</v>
      </c>
      <c r="F47" s="6">
        <v>1</v>
      </c>
      <c r="G47" s="8" t="s">
        <v>409</v>
      </c>
      <c r="H47" s="8">
        <v>32162</v>
      </c>
      <c r="I47" s="8">
        <v>2452</v>
      </c>
    </row>
    <row r="48" spans="1:9" ht="16.5" thickTop="1" thickBot="1">
      <c r="A48" s="6">
        <v>223887</v>
      </c>
      <c r="B48" s="6">
        <v>46060</v>
      </c>
      <c r="C48" s="6">
        <v>2446</v>
      </c>
      <c r="D48" s="6" t="s">
        <v>410</v>
      </c>
      <c r="E48" s="6" t="s">
        <v>23</v>
      </c>
      <c r="F48" s="6">
        <v>1</v>
      </c>
      <c r="G48" s="8" t="s">
        <v>411</v>
      </c>
      <c r="H48" s="8">
        <v>32163</v>
      </c>
      <c r="I48" s="8">
        <v>2448</v>
      </c>
    </row>
    <row r="49" spans="1:9" ht="16.5" thickTop="1" thickBot="1">
      <c r="A49" s="6">
        <v>223893</v>
      </c>
      <c r="B49" s="6">
        <v>46060</v>
      </c>
      <c r="C49" s="6">
        <v>2489</v>
      </c>
      <c r="D49" s="6" t="s">
        <v>412</v>
      </c>
      <c r="E49" s="6" t="s">
        <v>23</v>
      </c>
      <c r="F49" s="6">
        <v>1</v>
      </c>
      <c r="G49" s="8" t="s">
        <v>413</v>
      </c>
      <c r="H49" s="8">
        <v>32156</v>
      </c>
      <c r="I49" s="8">
        <v>2482</v>
      </c>
    </row>
    <row r="50" spans="1:9" ht="16.5" thickTop="1" thickBot="1">
      <c r="A50" s="6">
        <v>223900</v>
      </c>
      <c r="B50" s="6">
        <v>46060</v>
      </c>
      <c r="C50" s="6">
        <v>4050</v>
      </c>
      <c r="D50" s="6" t="s">
        <v>414</v>
      </c>
      <c r="E50" s="6" t="s">
        <v>23</v>
      </c>
      <c r="F50" s="6">
        <v>2</v>
      </c>
      <c r="G50" s="8" t="s">
        <v>415</v>
      </c>
      <c r="H50" s="8" t="s">
        <v>416</v>
      </c>
      <c r="I50" s="8">
        <v>2478</v>
      </c>
    </row>
    <row r="51" spans="1:9" ht="16.5" thickTop="1" thickBot="1">
      <c r="A51" s="6">
        <v>223901</v>
      </c>
      <c r="B51" s="6">
        <v>46060</v>
      </c>
      <c r="C51" s="6">
        <v>4064</v>
      </c>
      <c r="D51" s="6" t="s">
        <v>417</v>
      </c>
      <c r="E51" s="6" t="s">
        <v>23</v>
      </c>
      <c r="F51" s="6">
        <v>1</v>
      </c>
      <c r="G51" s="8" t="s">
        <v>418</v>
      </c>
      <c r="H51" s="8">
        <v>32144</v>
      </c>
      <c r="I51" s="8">
        <v>2481</v>
      </c>
    </row>
    <row r="52" spans="1:9" ht="16.5" thickTop="1" thickBot="1">
      <c r="A52" s="6">
        <v>223902</v>
      </c>
      <c r="B52" s="6">
        <v>46060</v>
      </c>
      <c r="C52" s="6">
        <v>4076</v>
      </c>
      <c r="D52" s="6" t="s">
        <v>419</v>
      </c>
      <c r="E52" s="6" t="s">
        <v>23</v>
      </c>
      <c r="F52" s="6">
        <v>1</v>
      </c>
      <c r="G52" s="8" t="s">
        <v>420</v>
      </c>
      <c r="H52" s="8">
        <v>32145</v>
      </c>
      <c r="I52" s="8">
        <v>2480</v>
      </c>
    </row>
    <row r="53" spans="1:9" ht="16.5" thickTop="1" thickBot="1">
      <c r="A53" s="6">
        <v>223903</v>
      </c>
      <c r="B53" s="6">
        <v>46060</v>
      </c>
      <c r="C53" s="6">
        <v>4077</v>
      </c>
      <c r="D53" s="6" t="s">
        <v>421</v>
      </c>
      <c r="E53" s="6" t="s">
        <v>23</v>
      </c>
      <c r="F53" s="6">
        <v>1</v>
      </c>
      <c r="G53" s="8" t="s">
        <v>422</v>
      </c>
      <c r="H53" s="8">
        <v>32146</v>
      </c>
      <c r="I53" s="8">
        <v>2454</v>
      </c>
    </row>
    <row r="54" spans="1:9" ht="16.5" thickTop="1" thickBot="1">
      <c r="A54" s="6">
        <v>223905</v>
      </c>
      <c r="B54" s="6">
        <v>46060</v>
      </c>
      <c r="C54" s="6">
        <v>4081</v>
      </c>
      <c r="D54" s="6" t="s">
        <v>423</v>
      </c>
      <c r="E54" s="6" t="s">
        <v>23</v>
      </c>
      <c r="F54" s="6">
        <v>3</v>
      </c>
      <c r="G54" s="8" t="s">
        <v>424</v>
      </c>
      <c r="H54" s="8" t="s">
        <v>425</v>
      </c>
      <c r="I54" s="8">
        <v>2476</v>
      </c>
    </row>
    <row r="55" spans="1:9" ht="16.5" thickTop="1" thickBot="1">
      <c r="A55" s="6">
        <v>223913</v>
      </c>
      <c r="B55" s="6">
        <v>46060</v>
      </c>
      <c r="C55" s="6">
        <v>4105</v>
      </c>
      <c r="D55" s="6" t="s">
        <v>426</v>
      </c>
      <c r="E55" s="6" t="s">
        <v>23</v>
      </c>
      <c r="F55" s="6">
        <v>1</v>
      </c>
      <c r="G55" s="8" t="s">
        <v>427</v>
      </c>
      <c r="H55" s="8">
        <v>32150</v>
      </c>
      <c r="I55" s="8">
        <v>2479</v>
      </c>
    </row>
    <row r="56" spans="1:9" ht="16.5" thickTop="1" thickBot="1">
      <c r="A56" s="6">
        <v>223914</v>
      </c>
      <c r="B56" s="6">
        <v>46060</v>
      </c>
      <c r="C56" s="6">
        <v>4109</v>
      </c>
      <c r="D56" s="6" t="s">
        <v>428</v>
      </c>
      <c r="E56" s="6" t="s">
        <v>23</v>
      </c>
      <c r="F56" s="6">
        <v>2</v>
      </c>
      <c r="G56" s="8" t="s">
        <v>429</v>
      </c>
      <c r="H56" s="8" t="s">
        <v>430</v>
      </c>
      <c r="I56" s="8">
        <v>2458</v>
      </c>
    </row>
    <row r="57" spans="1:9" ht="16.5" thickTop="1" thickBot="1">
      <c r="A57" s="6">
        <v>223916</v>
      </c>
      <c r="B57" s="6">
        <v>46060</v>
      </c>
      <c r="C57" s="6">
        <v>4117</v>
      </c>
      <c r="D57" s="6" t="s">
        <v>431</v>
      </c>
      <c r="E57" s="6" t="s">
        <v>23</v>
      </c>
      <c r="F57" s="6">
        <v>1</v>
      </c>
      <c r="G57" s="8" t="s">
        <v>432</v>
      </c>
      <c r="H57" s="8">
        <v>32132</v>
      </c>
      <c r="I57" s="8">
        <v>2466</v>
      </c>
    </row>
    <row r="58" spans="1:9" ht="16.5" thickTop="1" thickBot="1">
      <c r="A58" s="6">
        <v>223917</v>
      </c>
      <c r="B58" s="6">
        <v>46060</v>
      </c>
      <c r="C58" s="6">
        <v>4123</v>
      </c>
      <c r="D58" s="6" t="s">
        <v>433</v>
      </c>
      <c r="E58" s="6" t="s">
        <v>23</v>
      </c>
      <c r="F58" s="6">
        <v>2</v>
      </c>
      <c r="G58" s="8" t="s">
        <v>434</v>
      </c>
      <c r="H58" s="8" t="s">
        <v>435</v>
      </c>
      <c r="I58" s="8">
        <v>2471</v>
      </c>
    </row>
    <row r="59" spans="1:9" ht="16.5" thickTop="1" thickBot="1">
      <c r="A59" s="6">
        <v>223920</v>
      </c>
      <c r="B59" s="6">
        <v>46060</v>
      </c>
      <c r="C59" s="6">
        <v>4133</v>
      </c>
      <c r="D59" s="6" t="s">
        <v>436</v>
      </c>
      <c r="E59" s="6" t="s">
        <v>23</v>
      </c>
      <c r="F59" s="6">
        <v>2</v>
      </c>
      <c r="G59" s="8" t="s">
        <v>437</v>
      </c>
      <c r="H59" s="8" t="s">
        <v>438</v>
      </c>
      <c r="I59" s="8">
        <v>2469</v>
      </c>
    </row>
    <row r="60" spans="1:9" ht="16.5" thickTop="1" thickBot="1">
      <c r="A60" s="6">
        <v>223923</v>
      </c>
      <c r="B60" s="6">
        <v>46060</v>
      </c>
      <c r="C60" s="6">
        <v>4145</v>
      </c>
      <c r="D60" s="6" t="s">
        <v>439</v>
      </c>
      <c r="E60" s="6" t="s">
        <v>23</v>
      </c>
      <c r="F60" s="6">
        <v>1</v>
      </c>
      <c r="G60" s="8" t="s">
        <v>440</v>
      </c>
      <c r="H60" s="8">
        <v>32138</v>
      </c>
      <c r="I60" s="8">
        <v>2468</v>
      </c>
    </row>
    <row r="61" spans="1:9" ht="16.5" thickTop="1" thickBot="1">
      <c r="A61" s="6">
        <v>223926</v>
      </c>
      <c r="B61" s="6">
        <v>46060</v>
      </c>
      <c r="C61" s="6">
        <v>4153</v>
      </c>
      <c r="D61" s="6" t="s">
        <v>441</v>
      </c>
      <c r="E61" s="6" t="s">
        <v>23</v>
      </c>
      <c r="F61" s="6">
        <v>2</v>
      </c>
      <c r="G61" s="8" t="s">
        <v>442</v>
      </c>
      <c r="H61" s="8" t="s">
        <v>443</v>
      </c>
      <c r="I61" s="8">
        <v>2475</v>
      </c>
    </row>
    <row r="62" spans="1:9" ht="16.5" thickTop="1" thickBot="1">
      <c r="A62" s="6">
        <v>223927</v>
      </c>
      <c r="B62" s="6">
        <v>46060</v>
      </c>
      <c r="C62" s="6">
        <v>4158</v>
      </c>
      <c r="D62" s="6" t="s">
        <v>444</v>
      </c>
      <c r="E62" s="6" t="s">
        <v>23</v>
      </c>
      <c r="F62" s="6">
        <v>1</v>
      </c>
      <c r="G62" s="8" t="s">
        <v>445</v>
      </c>
      <c r="H62" s="8">
        <v>32137</v>
      </c>
      <c r="I62" s="8">
        <v>2465</v>
      </c>
    </row>
    <row r="63" spans="1:9" ht="16.5" thickTop="1" thickBot="1">
      <c r="A63" s="6">
        <v>223929</v>
      </c>
      <c r="B63" s="6">
        <v>46060</v>
      </c>
      <c r="C63" s="6">
        <v>4165</v>
      </c>
      <c r="D63" s="6" t="s">
        <v>446</v>
      </c>
      <c r="E63" s="6" t="s">
        <v>23</v>
      </c>
      <c r="F63" s="6">
        <v>2</v>
      </c>
      <c r="G63" s="8" t="s">
        <v>447</v>
      </c>
      <c r="H63" s="8" t="s">
        <v>448</v>
      </c>
      <c r="I63" s="8">
        <v>2473</v>
      </c>
    </row>
    <row r="64" spans="1:9" ht="16.5" thickTop="1" thickBot="1">
      <c r="A64" s="6">
        <v>223930</v>
      </c>
      <c r="B64" s="6">
        <v>46060</v>
      </c>
      <c r="C64" s="6">
        <v>4169</v>
      </c>
      <c r="D64" s="6" t="s">
        <v>449</v>
      </c>
      <c r="E64" s="6" t="s">
        <v>23</v>
      </c>
      <c r="F64" s="6">
        <v>1</v>
      </c>
      <c r="G64" s="8" t="s">
        <v>450</v>
      </c>
      <c r="H64" s="8">
        <v>32143</v>
      </c>
      <c r="I64" s="8">
        <v>2474</v>
      </c>
    </row>
    <row r="65" spans="1:9" ht="16.5" thickTop="1" thickBot="1">
      <c r="A65" s="6">
        <v>223933</v>
      </c>
      <c r="B65" s="6">
        <v>46060</v>
      </c>
      <c r="C65" s="6">
        <v>4181</v>
      </c>
      <c r="D65" s="6" t="s">
        <v>451</v>
      </c>
      <c r="E65" s="6" t="s">
        <v>23</v>
      </c>
      <c r="F65" s="6">
        <v>2</v>
      </c>
      <c r="G65" s="8" t="s">
        <v>452</v>
      </c>
      <c r="H65" s="8" t="s">
        <v>453</v>
      </c>
      <c r="I65" s="8">
        <v>2461</v>
      </c>
    </row>
    <row r="66" spans="1:9" ht="16.5" thickTop="1" thickBot="1">
      <c r="A66" s="6">
        <v>223935</v>
      </c>
      <c r="B66" s="6">
        <v>46060</v>
      </c>
      <c r="C66" s="6">
        <v>4183</v>
      </c>
      <c r="D66" s="6" t="s">
        <v>454</v>
      </c>
      <c r="E66" s="6" t="s">
        <v>23</v>
      </c>
      <c r="F66" s="6">
        <v>1</v>
      </c>
      <c r="G66" s="8" t="s">
        <v>455</v>
      </c>
      <c r="H66" s="8">
        <v>32125</v>
      </c>
      <c r="I66" s="8">
        <v>2472</v>
      </c>
    </row>
    <row r="67" spans="1:9" ht="16.5" thickTop="1" thickBot="1">
      <c r="A67" s="6">
        <v>223939</v>
      </c>
      <c r="B67" s="6">
        <v>46060</v>
      </c>
      <c r="C67" s="6">
        <v>4193</v>
      </c>
      <c r="D67" s="6" t="s">
        <v>456</v>
      </c>
      <c r="E67" s="6" t="s">
        <v>23</v>
      </c>
      <c r="F67" s="6">
        <v>1</v>
      </c>
      <c r="G67" s="8" t="s">
        <v>457</v>
      </c>
      <c r="H67" s="8">
        <v>32128</v>
      </c>
      <c r="I67" s="8">
        <v>2462</v>
      </c>
    </row>
    <row r="68" spans="1:9" ht="16.5" thickTop="1" thickBot="1">
      <c r="A68" s="6">
        <v>223944</v>
      </c>
      <c r="B68" s="6">
        <v>46060</v>
      </c>
      <c r="C68" s="6">
        <v>4210</v>
      </c>
      <c r="D68" s="6" t="s">
        <v>458</v>
      </c>
      <c r="E68" s="6" t="s">
        <v>23</v>
      </c>
      <c r="F68" s="6">
        <v>1</v>
      </c>
      <c r="G68" s="8" t="s">
        <v>459</v>
      </c>
      <c r="H68" s="8">
        <v>32127</v>
      </c>
      <c r="I68" s="8">
        <v>2449</v>
      </c>
    </row>
    <row r="69" spans="1:9" ht="16.5" thickTop="1" thickBot="1">
      <c r="A69" s="6">
        <v>223948</v>
      </c>
      <c r="B69" s="6">
        <v>46060</v>
      </c>
      <c r="C69" s="6">
        <v>4222</v>
      </c>
      <c r="D69" s="6" t="s">
        <v>460</v>
      </c>
      <c r="E69" s="6" t="s">
        <v>23</v>
      </c>
      <c r="F69" s="6">
        <v>1</v>
      </c>
      <c r="G69" s="8" t="s">
        <v>461</v>
      </c>
      <c r="H69" s="8">
        <v>32126</v>
      </c>
      <c r="I69" s="8">
        <v>2450</v>
      </c>
    </row>
    <row r="70" spans="1:9" ht="16.5" thickTop="1" thickBot="1">
      <c r="A70" s="6">
        <v>223951</v>
      </c>
      <c r="B70" s="6">
        <v>46060</v>
      </c>
      <c r="C70" s="6">
        <v>4261</v>
      </c>
      <c r="D70" s="6" t="s">
        <v>462</v>
      </c>
      <c r="E70" s="6" t="s">
        <v>23</v>
      </c>
      <c r="F70" s="6">
        <v>2</v>
      </c>
      <c r="G70" s="8" t="s">
        <v>463</v>
      </c>
      <c r="H70" s="8" t="s">
        <v>464</v>
      </c>
      <c r="I70" s="8">
        <v>2487</v>
      </c>
    </row>
    <row r="71" spans="1:9" ht="16.5" thickTop="1" thickBot="1">
      <c r="A71" s="6">
        <v>223955</v>
      </c>
      <c r="B71" s="6">
        <v>46060</v>
      </c>
      <c r="C71" s="6">
        <v>4274</v>
      </c>
      <c r="D71" s="6" t="s">
        <v>465</v>
      </c>
      <c r="E71" s="6" t="s">
        <v>23</v>
      </c>
      <c r="F71" s="6">
        <v>1</v>
      </c>
      <c r="G71" s="8" t="s">
        <v>466</v>
      </c>
      <c r="H71" s="8">
        <v>32117</v>
      </c>
      <c r="I71" s="8">
        <v>2470</v>
      </c>
    </row>
    <row r="72" spans="1:9" ht="16.5" thickTop="1" thickBot="1">
      <c r="A72" s="6">
        <v>223960</v>
      </c>
      <c r="B72" s="6">
        <v>46060</v>
      </c>
      <c r="C72" s="6">
        <v>4301</v>
      </c>
      <c r="D72" s="6" t="s">
        <v>467</v>
      </c>
      <c r="E72" s="6" t="s">
        <v>23</v>
      </c>
      <c r="F72" s="6">
        <v>2</v>
      </c>
      <c r="G72" s="8" t="s">
        <v>468</v>
      </c>
      <c r="H72" s="8" t="s">
        <v>469</v>
      </c>
      <c r="I72" s="8">
        <v>2467</v>
      </c>
    </row>
    <row r="73" spans="1:9" ht="16.5" thickTop="1" thickBot="1">
      <c r="A73" s="6">
        <v>223967</v>
      </c>
      <c r="B73" s="6">
        <v>46060</v>
      </c>
      <c r="C73" s="6">
        <v>4329</v>
      </c>
      <c r="D73" s="6" t="s">
        <v>470</v>
      </c>
      <c r="E73" s="6" t="s">
        <v>23</v>
      </c>
      <c r="F73" s="6">
        <v>1</v>
      </c>
      <c r="G73" s="8" t="s">
        <v>471</v>
      </c>
      <c r="H73" s="8">
        <v>32120</v>
      </c>
      <c r="I73" s="8">
        <v>2494</v>
      </c>
    </row>
    <row r="74" spans="1:9" ht="16.5" thickTop="1" thickBot="1">
      <c r="A74" s="6">
        <v>223969</v>
      </c>
      <c r="B74" s="6">
        <v>46060</v>
      </c>
      <c r="C74" s="6">
        <v>4341</v>
      </c>
      <c r="D74" s="6" t="s">
        <v>472</v>
      </c>
      <c r="E74" s="6" t="s">
        <v>23</v>
      </c>
      <c r="F74" s="6">
        <v>1</v>
      </c>
      <c r="G74" s="8" t="s">
        <v>473</v>
      </c>
      <c r="H74" s="8">
        <v>32122</v>
      </c>
      <c r="I74" s="8">
        <v>2484</v>
      </c>
    </row>
    <row r="75" spans="1:9" ht="16.5" thickTop="1" thickBot="1">
      <c r="A75" s="6">
        <v>223973</v>
      </c>
      <c r="B75" s="6">
        <v>46060</v>
      </c>
      <c r="C75" s="6">
        <v>4350</v>
      </c>
      <c r="D75" s="6" t="s">
        <v>474</v>
      </c>
      <c r="E75" s="6" t="s">
        <v>23</v>
      </c>
      <c r="F75" s="6">
        <v>1</v>
      </c>
      <c r="G75" s="8" t="s">
        <v>475</v>
      </c>
      <c r="H75" s="8">
        <v>32121</v>
      </c>
      <c r="I75" s="8">
        <v>2483</v>
      </c>
    </row>
    <row r="76" spans="1:9" ht="16.5" thickTop="1" thickBot="1">
      <c r="A76" s="6">
        <v>223977</v>
      </c>
      <c r="B76" s="6">
        <v>46060</v>
      </c>
      <c r="C76" s="6">
        <v>4358</v>
      </c>
      <c r="D76" s="6" t="s">
        <v>476</v>
      </c>
      <c r="E76" s="6" t="s">
        <v>23</v>
      </c>
      <c r="F76" s="6">
        <v>1</v>
      </c>
      <c r="G76" s="8" t="s">
        <v>477</v>
      </c>
      <c r="H76" s="8">
        <v>32109</v>
      </c>
      <c r="I76" s="8">
        <v>1484</v>
      </c>
    </row>
    <row r="77" spans="1:9" ht="16.5" thickTop="1" thickBot="1">
      <c r="A77" s="6">
        <v>223991</v>
      </c>
      <c r="B77" s="6">
        <v>46060</v>
      </c>
      <c r="C77" s="6">
        <v>4453</v>
      </c>
      <c r="D77" s="6" t="s">
        <v>478</v>
      </c>
      <c r="E77" s="6" t="s">
        <v>23</v>
      </c>
      <c r="F77" s="6">
        <v>1</v>
      </c>
      <c r="G77" s="8" t="s">
        <v>479</v>
      </c>
      <c r="H77" s="8">
        <v>32111</v>
      </c>
      <c r="I77" s="8">
        <v>1483</v>
      </c>
    </row>
    <row r="78" spans="1:9" ht="16.5" thickTop="1" thickBot="1">
      <c r="A78" s="6">
        <v>223996</v>
      </c>
      <c r="B78" s="6">
        <v>46060</v>
      </c>
      <c r="C78" s="6">
        <v>4464</v>
      </c>
      <c r="D78" s="6" t="s">
        <v>480</v>
      </c>
      <c r="E78" s="6" t="s">
        <v>23</v>
      </c>
      <c r="F78" s="6">
        <v>2</v>
      </c>
      <c r="G78" s="8" t="s">
        <v>481</v>
      </c>
      <c r="H78" s="8" t="s">
        <v>482</v>
      </c>
      <c r="I78" s="8">
        <v>1482</v>
      </c>
    </row>
    <row r="79" spans="1:9" ht="16.5" thickTop="1" thickBot="1">
      <c r="A79" s="6">
        <v>223998</v>
      </c>
      <c r="B79" s="6">
        <v>46060</v>
      </c>
      <c r="C79" s="6">
        <v>4465</v>
      </c>
      <c r="D79" s="6" t="s">
        <v>483</v>
      </c>
      <c r="E79" s="6" t="s">
        <v>23</v>
      </c>
      <c r="F79" s="6">
        <v>1</v>
      </c>
      <c r="G79" s="8" t="s">
        <v>484</v>
      </c>
      <c r="H79" s="8">
        <v>32113</v>
      </c>
      <c r="I79" s="8">
        <v>1480</v>
      </c>
    </row>
    <row r="80" spans="1:9" ht="16.5" thickTop="1" thickBot="1">
      <c r="A80" s="6">
        <v>224000</v>
      </c>
      <c r="B80" s="6">
        <v>46060</v>
      </c>
      <c r="C80" s="6">
        <v>4484</v>
      </c>
      <c r="D80" s="6" t="s">
        <v>485</v>
      </c>
      <c r="E80" s="6" t="s">
        <v>23</v>
      </c>
      <c r="F80" s="6">
        <v>2</v>
      </c>
      <c r="G80" s="8" t="s">
        <v>486</v>
      </c>
      <c r="H80" s="8" t="s">
        <v>487</v>
      </c>
      <c r="I80" s="8">
        <v>1481</v>
      </c>
    </row>
    <row r="81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39"/>
  <sheetViews>
    <sheetView showGridLines="0" topLeftCell="C1" workbookViewId="0">
      <pane ySplit="1" topLeftCell="A11" activePane="bottomLeft" state="frozen"/>
      <selection pane="bottomLeft" activeCell="E42" sqref="E42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5" customWidth="1"/>
    <col min="9" max="9" width="16.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224008</v>
      </c>
      <c r="B2" s="6">
        <v>46088</v>
      </c>
      <c r="C2" s="6">
        <v>2076</v>
      </c>
      <c r="D2" s="6" t="s">
        <v>488</v>
      </c>
      <c r="E2" s="6" t="s">
        <v>10</v>
      </c>
      <c r="F2" s="6">
        <v>6</v>
      </c>
      <c r="G2" s="7" t="s">
        <v>489</v>
      </c>
      <c r="H2" s="8" t="s">
        <v>490</v>
      </c>
      <c r="I2" s="8">
        <v>1493</v>
      </c>
    </row>
    <row r="3" spans="1:9" ht="16.5" thickTop="1" thickBot="1">
      <c r="A3" s="6">
        <v>224035</v>
      </c>
      <c r="B3" s="6">
        <v>46088</v>
      </c>
      <c r="C3" s="6">
        <v>2214</v>
      </c>
      <c r="D3" s="6" t="s">
        <v>298</v>
      </c>
      <c r="E3" s="6" t="s">
        <v>10</v>
      </c>
      <c r="F3" s="6">
        <v>4</v>
      </c>
      <c r="G3" s="7" t="s">
        <v>491</v>
      </c>
      <c r="H3" s="8" t="s">
        <v>492</v>
      </c>
      <c r="I3" s="8">
        <v>1488</v>
      </c>
    </row>
    <row r="4" spans="1:9" ht="16.5" thickTop="1" thickBot="1">
      <c r="A4" s="6">
        <v>224041</v>
      </c>
      <c r="B4" s="6">
        <v>46088</v>
      </c>
      <c r="C4" s="6">
        <v>2235</v>
      </c>
      <c r="D4" s="6" t="s">
        <v>493</v>
      </c>
      <c r="E4" s="6" t="s">
        <v>10</v>
      </c>
      <c r="F4" s="6">
        <v>2</v>
      </c>
      <c r="G4" s="7" t="s">
        <v>494</v>
      </c>
      <c r="H4" s="8" t="s">
        <v>495</v>
      </c>
      <c r="I4" s="8">
        <v>1523</v>
      </c>
    </row>
    <row r="5" spans="1:9" ht="16.5" thickTop="1" thickBot="1">
      <c r="A5" s="6">
        <v>224045</v>
      </c>
      <c r="B5" s="6">
        <v>46088</v>
      </c>
      <c r="C5" s="6">
        <v>2256</v>
      </c>
      <c r="D5" s="6" t="s">
        <v>496</v>
      </c>
      <c r="E5" s="6" t="s">
        <v>10</v>
      </c>
      <c r="F5" s="6">
        <v>4</v>
      </c>
      <c r="G5" s="7" t="s">
        <v>497</v>
      </c>
      <c r="H5" s="8" t="s">
        <v>498</v>
      </c>
      <c r="I5" s="8">
        <v>1489</v>
      </c>
    </row>
    <row r="6" spans="1:9" ht="16.5" thickTop="1" thickBot="1">
      <c r="A6" s="6">
        <v>224056</v>
      </c>
      <c r="B6" s="6">
        <v>46088</v>
      </c>
      <c r="C6" s="6">
        <v>2333</v>
      </c>
      <c r="D6" s="6" t="s">
        <v>499</v>
      </c>
      <c r="E6" s="6" t="s">
        <v>10</v>
      </c>
      <c r="F6" s="6">
        <v>4</v>
      </c>
      <c r="G6" s="7" t="s">
        <v>500</v>
      </c>
      <c r="H6" s="8" t="s">
        <v>501</v>
      </c>
      <c r="I6" s="8">
        <v>1522</v>
      </c>
    </row>
    <row r="7" spans="1:9" ht="16.5" thickTop="1" thickBot="1">
      <c r="A7" s="6">
        <v>224076</v>
      </c>
      <c r="B7" s="6">
        <v>46088</v>
      </c>
      <c r="C7" s="6">
        <v>2411</v>
      </c>
      <c r="D7" s="6" t="s">
        <v>38</v>
      </c>
      <c r="E7" s="6" t="s">
        <v>10</v>
      </c>
      <c r="F7" s="6">
        <v>4</v>
      </c>
      <c r="G7" s="7" t="s">
        <v>502</v>
      </c>
      <c r="H7" s="8" t="s">
        <v>503</v>
      </c>
      <c r="I7" s="8">
        <v>1498</v>
      </c>
    </row>
    <row r="8" spans="1:9" ht="16.5" thickTop="1" thickBot="1">
      <c r="A8" s="6">
        <v>224094</v>
      </c>
      <c r="B8" s="6">
        <v>46088</v>
      </c>
      <c r="C8" s="6">
        <v>4002</v>
      </c>
      <c r="D8" s="6" t="s">
        <v>504</v>
      </c>
      <c r="E8" s="6" t="s">
        <v>10</v>
      </c>
      <c r="F8" s="6">
        <v>5</v>
      </c>
      <c r="G8" s="7" t="s">
        <v>505</v>
      </c>
      <c r="H8" s="8" t="s">
        <v>506</v>
      </c>
      <c r="I8" s="8">
        <v>1497</v>
      </c>
    </row>
    <row r="9" spans="1:9" ht="16.5" thickTop="1" thickBot="1">
      <c r="A9" s="6">
        <v>224097</v>
      </c>
      <c r="B9" s="6">
        <v>46088</v>
      </c>
      <c r="C9" s="6">
        <v>4007</v>
      </c>
      <c r="D9" s="6" t="s">
        <v>507</v>
      </c>
      <c r="E9" s="6" t="s">
        <v>10</v>
      </c>
      <c r="F9" s="6">
        <v>4</v>
      </c>
      <c r="G9" s="7" t="s">
        <v>508</v>
      </c>
      <c r="H9" s="8" t="s">
        <v>509</v>
      </c>
      <c r="I9" s="8">
        <v>1507</v>
      </c>
    </row>
    <row r="10" spans="1:9" ht="16.5" thickTop="1" thickBot="1">
      <c r="A10" s="6">
        <v>224132</v>
      </c>
      <c r="B10" s="6">
        <v>46088</v>
      </c>
      <c r="C10" s="6">
        <v>4233</v>
      </c>
      <c r="D10" s="6" t="s">
        <v>59</v>
      </c>
      <c r="E10" s="6" t="s">
        <v>10</v>
      </c>
      <c r="F10" s="6">
        <v>3</v>
      </c>
      <c r="G10" s="12" t="s">
        <v>510</v>
      </c>
      <c r="H10" s="8" t="s">
        <v>511</v>
      </c>
      <c r="I10" s="8">
        <v>1505</v>
      </c>
    </row>
    <row r="11" spans="1:9" ht="16.5" thickTop="1" thickBot="1">
      <c r="A11" s="6">
        <v>224165</v>
      </c>
      <c r="B11" s="6">
        <v>46088</v>
      </c>
      <c r="C11" s="6">
        <v>4429</v>
      </c>
      <c r="D11" s="6" t="s">
        <v>512</v>
      </c>
      <c r="E11" s="6" t="s">
        <v>10</v>
      </c>
      <c r="F11" s="6">
        <v>6</v>
      </c>
      <c r="G11" s="7" t="s">
        <v>513</v>
      </c>
      <c r="H11" s="8" t="s">
        <v>514</v>
      </c>
      <c r="I11" s="8">
        <v>1496</v>
      </c>
    </row>
    <row r="12" spans="1:9" ht="16.5" thickTop="1" thickBot="1">
      <c r="A12" s="6">
        <v>224099</v>
      </c>
      <c r="B12" s="6">
        <v>46088</v>
      </c>
      <c r="C12" s="6">
        <v>4028</v>
      </c>
      <c r="D12" s="6" t="s">
        <v>515</v>
      </c>
      <c r="E12" s="6" t="s">
        <v>23</v>
      </c>
      <c r="F12" s="6">
        <v>4</v>
      </c>
      <c r="G12" s="7" t="s">
        <v>516</v>
      </c>
      <c r="H12" s="8" t="s">
        <v>517</v>
      </c>
      <c r="I12" s="8">
        <v>1501</v>
      </c>
    </row>
    <row r="13" spans="1:9" ht="16.5" thickTop="1" thickBot="1">
      <c r="A13" s="6">
        <v>224079</v>
      </c>
      <c r="B13" s="6">
        <v>46088</v>
      </c>
      <c r="C13" s="6">
        <v>2417</v>
      </c>
      <c r="D13" s="6" t="s">
        <v>518</v>
      </c>
      <c r="E13" s="6" t="s">
        <v>23</v>
      </c>
      <c r="F13" s="6">
        <v>3</v>
      </c>
      <c r="G13" s="7" t="s">
        <v>519</v>
      </c>
      <c r="H13" s="8" t="s">
        <v>520</v>
      </c>
      <c r="I13" s="8">
        <v>1494</v>
      </c>
    </row>
    <row r="14" spans="1:9" ht="16.5" thickTop="1" thickBot="1">
      <c r="A14" s="6">
        <v>224120</v>
      </c>
      <c r="B14" s="6">
        <v>46088</v>
      </c>
      <c r="C14" s="6">
        <v>4167</v>
      </c>
      <c r="D14" s="6" t="s">
        <v>521</v>
      </c>
      <c r="E14" s="6" t="s">
        <v>23</v>
      </c>
      <c r="F14" s="6">
        <v>3</v>
      </c>
      <c r="G14" s="7" t="s">
        <v>522</v>
      </c>
      <c r="H14" s="8" t="s">
        <v>523</v>
      </c>
      <c r="I14" s="8">
        <v>1511</v>
      </c>
    </row>
    <row r="15" spans="1:9" ht="16.5" thickTop="1" thickBot="1">
      <c r="A15" s="6">
        <v>224106</v>
      </c>
      <c r="B15" s="6">
        <v>46088</v>
      </c>
      <c r="C15" s="6">
        <v>4087</v>
      </c>
      <c r="D15" s="6" t="s">
        <v>524</v>
      </c>
      <c r="E15" s="6" t="s">
        <v>23</v>
      </c>
      <c r="F15" s="6">
        <v>2</v>
      </c>
      <c r="G15" s="7" t="s">
        <v>525</v>
      </c>
      <c r="H15" s="8" t="s">
        <v>526</v>
      </c>
      <c r="I15" s="8">
        <v>1495</v>
      </c>
    </row>
    <row r="16" spans="1:9" ht="16.5" thickTop="1" thickBot="1">
      <c r="A16" s="6">
        <v>224009</v>
      </c>
      <c r="B16" s="6">
        <v>46088</v>
      </c>
      <c r="C16" s="6">
        <v>2081</v>
      </c>
      <c r="D16" s="6" t="s">
        <v>527</v>
      </c>
      <c r="E16" s="6" t="s">
        <v>23</v>
      </c>
      <c r="F16" s="6">
        <v>3</v>
      </c>
      <c r="G16" s="7" t="s">
        <v>528</v>
      </c>
      <c r="H16" s="8" t="s">
        <v>529</v>
      </c>
      <c r="I16" s="8">
        <v>1491</v>
      </c>
    </row>
    <row r="17" spans="1:9" ht="16.5" thickTop="1" thickBot="1">
      <c r="A17" s="6">
        <v>224162</v>
      </c>
      <c r="B17" s="6">
        <v>46088</v>
      </c>
      <c r="C17" s="6">
        <v>4409</v>
      </c>
      <c r="D17" s="6" t="s">
        <v>530</v>
      </c>
      <c r="E17" s="6" t="s">
        <v>23</v>
      </c>
      <c r="F17" s="6">
        <v>3</v>
      </c>
      <c r="G17" s="7" t="s">
        <v>531</v>
      </c>
      <c r="H17" s="8" t="s">
        <v>532</v>
      </c>
      <c r="I17" s="8">
        <v>1515</v>
      </c>
    </row>
    <row r="18" spans="1:9" ht="16.5" thickTop="1" thickBot="1">
      <c r="A18" s="6">
        <v>224054</v>
      </c>
      <c r="B18" s="6">
        <v>46088</v>
      </c>
      <c r="C18" s="6">
        <v>2322</v>
      </c>
      <c r="D18" s="6" t="s">
        <v>533</v>
      </c>
      <c r="E18" s="6" t="s">
        <v>23</v>
      </c>
      <c r="F18" s="6">
        <v>2</v>
      </c>
      <c r="G18" s="7" t="s">
        <v>534</v>
      </c>
      <c r="H18" s="8" t="s">
        <v>535</v>
      </c>
      <c r="I18" s="8">
        <v>1514</v>
      </c>
    </row>
    <row r="19" spans="1:9" ht="16.5" thickTop="1" thickBot="1">
      <c r="A19" s="6">
        <v>224150</v>
      </c>
      <c r="B19" s="6">
        <v>46088</v>
      </c>
      <c r="C19" s="6">
        <v>4351</v>
      </c>
      <c r="D19" s="6" t="s">
        <v>536</v>
      </c>
      <c r="E19" s="6" t="s">
        <v>23</v>
      </c>
      <c r="F19" s="6">
        <v>2</v>
      </c>
      <c r="G19" s="7" t="s">
        <v>537</v>
      </c>
      <c r="H19" s="8" t="s">
        <v>538</v>
      </c>
      <c r="I19" s="8">
        <v>1519</v>
      </c>
    </row>
    <row r="20" spans="1:9" ht="16.5" thickTop="1" thickBot="1">
      <c r="A20" s="6">
        <v>224075</v>
      </c>
      <c r="B20" s="6">
        <v>46088</v>
      </c>
      <c r="C20" s="6">
        <v>2408</v>
      </c>
      <c r="D20" s="6" t="s">
        <v>539</v>
      </c>
      <c r="E20" s="6" t="s">
        <v>23</v>
      </c>
      <c r="F20" s="6">
        <v>2</v>
      </c>
      <c r="G20" s="7" t="s">
        <v>540</v>
      </c>
      <c r="H20" s="8" t="s">
        <v>541</v>
      </c>
      <c r="I20" s="8">
        <v>1524</v>
      </c>
    </row>
    <row r="21" spans="1:9" ht="16.5" thickTop="1" thickBot="1">
      <c r="A21" s="6">
        <v>224043</v>
      </c>
      <c r="B21" s="6">
        <v>46088</v>
      </c>
      <c r="C21" s="6">
        <v>2239</v>
      </c>
      <c r="D21" s="6" t="s">
        <v>542</v>
      </c>
      <c r="E21" s="6" t="s">
        <v>23</v>
      </c>
      <c r="F21" s="6">
        <v>2</v>
      </c>
      <c r="G21" s="7" t="s">
        <v>543</v>
      </c>
      <c r="H21" s="8" t="s">
        <v>544</v>
      </c>
      <c r="I21" s="8">
        <v>1490</v>
      </c>
    </row>
    <row r="22" spans="1:9" ht="16.5" thickTop="1" thickBot="1">
      <c r="A22" s="6">
        <v>224123</v>
      </c>
      <c r="B22" s="6">
        <v>46088</v>
      </c>
      <c r="C22" s="6">
        <v>4174</v>
      </c>
      <c r="D22" s="6" t="s">
        <v>545</v>
      </c>
      <c r="E22" s="6" t="s">
        <v>23</v>
      </c>
      <c r="F22" s="6">
        <v>2</v>
      </c>
      <c r="G22" s="7" t="s">
        <v>546</v>
      </c>
      <c r="H22" s="8" t="s">
        <v>547</v>
      </c>
      <c r="I22" s="8">
        <v>1492</v>
      </c>
    </row>
    <row r="23" spans="1:9" ht="16.5" thickTop="1" thickBot="1">
      <c r="A23" s="6">
        <v>224052</v>
      </c>
      <c r="B23" s="6">
        <v>46088</v>
      </c>
      <c r="C23" s="6">
        <v>2297</v>
      </c>
      <c r="D23" s="6" t="s">
        <v>548</v>
      </c>
      <c r="E23" s="6" t="s">
        <v>23</v>
      </c>
      <c r="F23" s="6">
        <v>2</v>
      </c>
      <c r="G23" s="7" t="s">
        <v>549</v>
      </c>
      <c r="H23" s="8" t="s">
        <v>550</v>
      </c>
      <c r="I23" s="8">
        <v>1486</v>
      </c>
    </row>
    <row r="24" spans="1:9" ht="16.5" thickTop="1" thickBot="1">
      <c r="A24" s="6">
        <v>224089</v>
      </c>
      <c r="B24" s="6">
        <v>46088</v>
      </c>
      <c r="C24" s="6">
        <v>2473</v>
      </c>
      <c r="D24" s="6" t="s">
        <v>551</v>
      </c>
      <c r="E24" s="6" t="s">
        <v>23</v>
      </c>
      <c r="F24" s="6">
        <v>2</v>
      </c>
      <c r="G24" s="7" t="s">
        <v>552</v>
      </c>
      <c r="H24" s="8" t="s">
        <v>553</v>
      </c>
      <c r="I24" s="8">
        <v>1487</v>
      </c>
    </row>
    <row r="25" spans="1:9" ht="16.5" thickTop="1" thickBot="1">
      <c r="A25" s="6">
        <v>224169</v>
      </c>
      <c r="B25" s="6">
        <v>46088</v>
      </c>
      <c r="C25" s="6">
        <v>4455</v>
      </c>
      <c r="D25" s="6" t="s">
        <v>554</v>
      </c>
      <c r="E25" s="6" t="s">
        <v>23</v>
      </c>
      <c r="F25" s="6">
        <v>2</v>
      </c>
      <c r="G25" s="7" t="s">
        <v>555</v>
      </c>
      <c r="H25" s="8" t="s">
        <v>556</v>
      </c>
      <c r="I25" s="8">
        <v>1510</v>
      </c>
    </row>
    <row r="26" spans="1:9" ht="16.5" thickTop="1" thickBot="1">
      <c r="A26" s="6">
        <v>224143</v>
      </c>
      <c r="B26" s="6">
        <v>46088</v>
      </c>
      <c r="C26" s="6">
        <v>4297</v>
      </c>
      <c r="D26" s="6" t="s">
        <v>557</v>
      </c>
      <c r="E26" s="6" t="s">
        <v>23</v>
      </c>
      <c r="F26" s="6">
        <v>2</v>
      </c>
      <c r="G26" s="7" t="s">
        <v>558</v>
      </c>
      <c r="H26" s="8" t="s">
        <v>559</v>
      </c>
      <c r="I26" s="8">
        <v>1509</v>
      </c>
    </row>
    <row r="27" spans="1:9" ht="16.5" thickTop="1" thickBot="1">
      <c r="A27" s="6">
        <v>224044</v>
      </c>
      <c r="B27" s="6">
        <v>46088</v>
      </c>
      <c r="C27" s="6">
        <v>2241</v>
      </c>
      <c r="D27" s="6" t="s">
        <v>560</v>
      </c>
      <c r="E27" s="6" t="s">
        <v>23</v>
      </c>
      <c r="F27" s="6">
        <v>2</v>
      </c>
      <c r="G27" s="7" t="s">
        <v>561</v>
      </c>
      <c r="H27" s="8" t="s">
        <v>562</v>
      </c>
      <c r="I27" s="8">
        <v>1508</v>
      </c>
    </row>
    <row r="28" spans="1:9" ht="16.5" thickTop="1" thickBot="1">
      <c r="A28" s="6">
        <v>224027</v>
      </c>
      <c r="B28" s="6">
        <v>46088</v>
      </c>
      <c r="C28" s="6">
        <v>2173</v>
      </c>
      <c r="D28" s="6" t="s">
        <v>563</v>
      </c>
      <c r="E28" s="6" t="s">
        <v>23</v>
      </c>
      <c r="F28" s="6">
        <v>2</v>
      </c>
      <c r="G28" s="7" t="s">
        <v>564</v>
      </c>
      <c r="H28" s="8" t="s">
        <v>565</v>
      </c>
      <c r="I28" s="8">
        <v>1506</v>
      </c>
    </row>
    <row r="29" spans="1:9" ht="16.5" thickTop="1" thickBot="1">
      <c r="A29" s="6">
        <v>224001</v>
      </c>
      <c r="B29" s="6">
        <v>46088</v>
      </c>
      <c r="C29" s="6">
        <v>2008</v>
      </c>
      <c r="D29" s="6" t="s">
        <v>566</v>
      </c>
      <c r="E29" s="6" t="s">
        <v>23</v>
      </c>
      <c r="F29" s="6">
        <v>2</v>
      </c>
      <c r="G29" s="7" t="s">
        <v>567</v>
      </c>
      <c r="H29" s="8" t="s">
        <v>568</v>
      </c>
      <c r="I29" s="8">
        <v>1503</v>
      </c>
    </row>
    <row r="30" spans="1:9" ht="16.5" thickTop="1" thickBot="1">
      <c r="A30" s="6">
        <v>224161</v>
      </c>
      <c r="B30" s="6">
        <v>46088</v>
      </c>
      <c r="C30" s="6">
        <v>4408</v>
      </c>
      <c r="D30" s="6" t="s">
        <v>569</v>
      </c>
      <c r="E30" s="6" t="s">
        <v>23</v>
      </c>
      <c r="F30" s="6">
        <v>2</v>
      </c>
      <c r="G30" s="7" t="s">
        <v>570</v>
      </c>
      <c r="H30" s="8" t="s">
        <v>571</v>
      </c>
      <c r="I30" s="8">
        <v>1502</v>
      </c>
    </row>
    <row r="31" spans="1:9" ht="16.5" thickTop="1" thickBot="1">
      <c r="A31" s="6">
        <v>224147</v>
      </c>
      <c r="B31" s="6">
        <v>46088</v>
      </c>
      <c r="C31" s="6">
        <v>4333</v>
      </c>
      <c r="D31" s="6" t="s">
        <v>572</v>
      </c>
      <c r="E31" s="6" t="s">
        <v>23</v>
      </c>
      <c r="F31" s="6">
        <v>2</v>
      </c>
      <c r="G31" s="7" t="s">
        <v>573</v>
      </c>
      <c r="H31" s="8" t="s">
        <v>574</v>
      </c>
      <c r="I31" s="8">
        <v>1504</v>
      </c>
    </row>
    <row r="32" spans="1:9" ht="16.5" thickTop="1" thickBot="1">
      <c r="A32" s="6">
        <v>224007</v>
      </c>
      <c r="B32" s="6">
        <v>46088</v>
      </c>
      <c r="C32" s="6">
        <v>2066</v>
      </c>
      <c r="D32" s="6" t="s">
        <v>575</v>
      </c>
      <c r="E32" s="6" t="s">
        <v>23</v>
      </c>
      <c r="F32" s="6">
        <v>2</v>
      </c>
      <c r="G32" s="7" t="s">
        <v>576</v>
      </c>
      <c r="H32" s="8" t="s">
        <v>577</v>
      </c>
      <c r="I32" s="8">
        <v>1500</v>
      </c>
    </row>
    <row r="33" spans="1:9" ht="16.5" thickTop="1" thickBot="1">
      <c r="A33" s="6">
        <v>224082</v>
      </c>
      <c r="B33" s="6">
        <v>46088</v>
      </c>
      <c r="C33" s="6">
        <v>2432</v>
      </c>
      <c r="D33" s="6" t="s">
        <v>578</v>
      </c>
      <c r="E33" s="6" t="s">
        <v>23</v>
      </c>
      <c r="F33" s="6">
        <v>2</v>
      </c>
      <c r="G33" s="7" t="s">
        <v>579</v>
      </c>
      <c r="H33" s="8" t="s">
        <v>580</v>
      </c>
      <c r="I33" s="8">
        <v>1499</v>
      </c>
    </row>
    <row r="34" spans="1:9" ht="16.5" thickTop="1" thickBot="1">
      <c r="A34" s="6">
        <v>224033</v>
      </c>
      <c r="B34" s="6">
        <v>46088</v>
      </c>
      <c r="C34" s="6">
        <v>2203</v>
      </c>
      <c r="D34" s="6" t="s">
        <v>581</v>
      </c>
      <c r="E34" s="6" t="s">
        <v>23</v>
      </c>
      <c r="F34" s="6">
        <v>2</v>
      </c>
      <c r="G34" s="7" t="s">
        <v>582</v>
      </c>
      <c r="H34" s="8" t="s">
        <v>583</v>
      </c>
      <c r="I34" s="8">
        <v>1512</v>
      </c>
    </row>
    <row r="35" spans="1:9" ht="16.5" thickTop="1" thickBot="1">
      <c r="A35" s="6">
        <v>224155</v>
      </c>
      <c r="B35" s="6">
        <v>46088</v>
      </c>
      <c r="C35" s="6">
        <v>4365</v>
      </c>
      <c r="D35" s="6" t="s">
        <v>584</v>
      </c>
      <c r="E35" s="6" t="s">
        <v>23</v>
      </c>
      <c r="F35" s="6">
        <v>2</v>
      </c>
      <c r="G35" s="7" t="s">
        <v>585</v>
      </c>
      <c r="H35" s="8" t="s">
        <v>586</v>
      </c>
      <c r="I35" s="8">
        <v>1513</v>
      </c>
    </row>
    <row r="36" spans="1:9" ht="16.5" thickTop="1" thickBot="1">
      <c r="A36" s="6">
        <v>224163</v>
      </c>
      <c r="B36" s="6">
        <v>46088</v>
      </c>
      <c r="C36" s="6">
        <v>4418</v>
      </c>
      <c r="D36" s="6" t="s">
        <v>587</v>
      </c>
      <c r="E36" s="6" t="s">
        <v>23</v>
      </c>
      <c r="F36" s="6">
        <v>2</v>
      </c>
      <c r="G36" s="7" t="s">
        <v>588</v>
      </c>
      <c r="H36" s="8" t="s">
        <v>589</v>
      </c>
      <c r="I36" s="8">
        <v>1516</v>
      </c>
    </row>
    <row r="37" spans="1:9" ht="16.5" thickTop="1" thickBot="1">
      <c r="A37" s="6">
        <v>224070</v>
      </c>
      <c r="B37" s="6">
        <v>46088</v>
      </c>
      <c r="C37" s="6">
        <v>2378</v>
      </c>
      <c r="D37" s="6" t="s">
        <v>590</v>
      </c>
      <c r="E37" s="6" t="s">
        <v>23</v>
      </c>
      <c r="F37" s="6">
        <v>2</v>
      </c>
      <c r="G37" s="7" t="s">
        <v>591</v>
      </c>
      <c r="H37" s="8" t="s">
        <v>592</v>
      </c>
      <c r="I37" s="8">
        <v>1520</v>
      </c>
    </row>
    <row r="38" spans="1:9" ht="16.5" thickTop="1" thickBot="1">
      <c r="A38" s="6">
        <v>224085</v>
      </c>
      <c r="B38" s="6">
        <v>46088</v>
      </c>
      <c r="C38" s="6">
        <v>2438</v>
      </c>
      <c r="D38" s="6" t="s">
        <v>593</v>
      </c>
      <c r="E38" s="6" t="s">
        <v>23</v>
      </c>
      <c r="F38" s="6">
        <v>2</v>
      </c>
      <c r="G38" s="7" t="s">
        <v>594</v>
      </c>
      <c r="H38" s="8" t="s">
        <v>595</v>
      </c>
      <c r="I38" s="8">
        <v>1518</v>
      </c>
    </row>
    <row r="39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249977111117893"/>
  </sheetPr>
  <dimension ref="A1:I12"/>
  <sheetViews>
    <sheetView showGridLines="0" workbookViewId="0">
      <pane ySplit="1" topLeftCell="A2" activePane="bottomLeft" state="frozen"/>
      <selection pane="bottomLeft" activeCell="F24" sqref="F24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5" customWidth="1"/>
    <col min="9" max="9" width="16.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224277</v>
      </c>
      <c r="B2" s="6">
        <v>46180</v>
      </c>
      <c r="C2" s="6">
        <v>4058</v>
      </c>
      <c r="D2" s="6" t="s">
        <v>596</v>
      </c>
      <c r="E2" s="6" t="s">
        <v>10</v>
      </c>
      <c r="F2" s="6">
        <v>3</v>
      </c>
      <c r="G2" s="7" t="s">
        <v>667</v>
      </c>
      <c r="H2" s="8" t="s">
        <v>668</v>
      </c>
      <c r="I2" s="8">
        <v>1461</v>
      </c>
    </row>
    <row r="3" spans="1:9" ht="16.5" thickTop="1" thickBot="1">
      <c r="A3" s="6">
        <v>224346</v>
      </c>
      <c r="B3" s="6">
        <v>46180</v>
      </c>
      <c r="C3" s="6">
        <v>4386</v>
      </c>
      <c r="D3" s="6" t="s">
        <v>597</v>
      </c>
      <c r="E3" s="6" t="s">
        <v>10</v>
      </c>
      <c r="F3" s="6">
        <v>6</v>
      </c>
      <c r="G3" s="7" t="s">
        <v>669</v>
      </c>
      <c r="H3" s="8" t="s">
        <v>670</v>
      </c>
      <c r="I3" s="8" t="s">
        <v>671</v>
      </c>
    </row>
    <row r="4" spans="1:9" ht="16.5" thickTop="1" thickBot="1">
      <c r="A4" s="6">
        <v>224347</v>
      </c>
      <c r="B4" s="6">
        <v>46180</v>
      </c>
      <c r="C4" s="6">
        <v>4399</v>
      </c>
      <c r="D4" s="6" t="s">
        <v>598</v>
      </c>
      <c r="E4" s="6" t="s">
        <v>10</v>
      </c>
      <c r="F4" s="6">
        <v>4</v>
      </c>
      <c r="G4" s="7" t="s">
        <v>672</v>
      </c>
      <c r="H4" s="8" t="s">
        <v>673</v>
      </c>
      <c r="I4" s="8">
        <v>1457</v>
      </c>
    </row>
    <row r="5" spans="1:9" ht="16.5" thickTop="1" thickBot="1">
      <c r="A5" s="6">
        <v>224361</v>
      </c>
      <c r="B5" s="6">
        <v>46180</v>
      </c>
      <c r="C5" s="6">
        <v>4473</v>
      </c>
      <c r="D5" s="6" t="s">
        <v>599</v>
      </c>
      <c r="E5" s="6" t="s">
        <v>10</v>
      </c>
      <c r="F5" s="6">
        <v>3</v>
      </c>
      <c r="G5" s="7" t="s">
        <v>674</v>
      </c>
      <c r="H5" s="8" t="s">
        <v>675</v>
      </c>
      <c r="I5" s="8">
        <v>1560</v>
      </c>
    </row>
    <row r="6" spans="1:9" ht="16.5" thickTop="1" thickBot="1">
      <c r="A6" s="6">
        <v>224382</v>
      </c>
      <c r="B6" s="6">
        <v>46180</v>
      </c>
      <c r="C6" s="6">
        <v>2125</v>
      </c>
      <c r="D6" s="6" t="s">
        <v>600</v>
      </c>
      <c r="E6" s="6" t="s">
        <v>10</v>
      </c>
      <c r="F6" s="6">
        <v>7</v>
      </c>
      <c r="G6" s="7" t="s">
        <v>676</v>
      </c>
      <c r="H6" s="8" t="s">
        <v>677</v>
      </c>
      <c r="I6" s="8">
        <v>1458</v>
      </c>
    </row>
    <row r="7" spans="1:9" ht="16.5" thickTop="1" thickBot="1">
      <c r="A7" s="6">
        <v>224390</v>
      </c>
      <c r="B7" s="6">
        <v>46180</v>
      </c>
      <c r="C7" s="6">
        <v>2223</v>
      </c>
      <c r="D7" s="6" t="s">
        <v>601</v>
      </c>
      <c r="E7" s="6" t="s">
        <v>10</v>
      </c>
      <c r="F7" s="6">
        <v>5</v>
      </c>
      <c r="G7" s="7" t="s">
        <v>678</v>
      </c>
      <c r="H7" s="8" t="s">
        <v>679</v>
      </c>
      <c r="I7" s="8">
        <v>1459</v>
      </c>
    </row>
    <row r="8" spans="1:9" ht="16.5" thickTop="1" thickBot="1">
      <c r="A8" s="6">
        <v>224402</v>
      </c>
      <c r="B8" s="6">
        <v>46180</v>
      </c>
      <c r="C8" s="6">
        <v>2311</v>
      </c>
      <c r="D8" s="6" t="s">
        <v>602</v>
      </c>
      <c r="E8" s="6" t="s">
        <v>10</v>
      </c>
      <c r="F8" s="6">
        <v>3</v>
      </c>
      <c r="G8" s="7" t="s">
        <v>680</v>
      </c>
      <c r="H8" s="8" t="s">
        <v>681</v>
      </c>
      <c r="I8" s="8">
        <v>1559</v>
      </c>
    </row>
    <row r="9" spans="1:9" ht="16.5" thickTop="1" thickBot="1">
      <c r="A9" s="6">
        <v>224430</v>
      </c>
      <c r="B9" s="6">
        <v>46180</v>
      </c>
      <c r="C9" s="6">
        <v>4184</v>
      </c>
      <c r="D9" s="6" t="s">
        <v>603</v>
      </c>
      <c r="E9" s="6" t="s">
        <v>10</v>
      </c>
      <c r="F9" s="6">
        <v>4</v>
      </c>
      <c r="G9" s="7" t="s">
        <v>682</v>
      </c>
      <c r="H9" s="8" t="s">
        <v>683</v>
      </c>
      <c r="I9" s="8">
        <v>1521</v>
      </c>
    </row>
    <row r="10" spans="1:9" ht="16.5" thickTop="1" thickBot="1">
      <c r="A10" s="6">
        <v>224435</v>
      </c>
      <c r="B10" s="6">
        <v>46180</v>
      </c>
      <c r="C10" s="6">
        <v>4241</v>
      </c>
      <c r="D10" s="6" t="s">
        <v>604</v>
      </c>
      <c r="E10" s="6" t="s">
        <v>10</v>
      </c>
      <c r="F10" s="6">
        <v>6</v>
      </c>
      <c r="G10" s="12" t="s">
        <v>684</v>
      </c>
      <c r="H10" s="8" t="s">
        <v>685</v>
      </c>
      <c r="I10" s="8">
        <v>1460</v>
      </c>
    </row>
    <row r="11" spans="1:9" ht="16.5" thickTop="1" thickBot="1">
      <c r="A11" s="6">
        <v>224442</v>
      </c>
      <c r="B11" s="6">
        <v>46180</v>
      </c>
      <c r="C11" s="6">
        <v>4305</v>
      </c>
      <c r="D11" s="6" t="s">
        <v>605</v>
      </c>
      <c r="E11" s="6" t="s">
        <v>10</v>
      </c>
      <c r="F11" s="6">
        <v>2</v>
      </c>
      <c r="G11" s="7" t="s">
        <v>686</v>
      </c>
      <c r="H11" s="8" t="s">
        <v>687</v>
      </c>
      <c r="I11" s="8" t="s">
        <v>688</v>
      </c>
    </row>
    <row r="12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I12"/>
  <sheetViews>
    <sheetView showGridLines="0" workbookViewId="0">
      <pane ySplit="1" topLeftCell="A2" activePane="bottomLeft" state="frozen"/>
      <selection pane="bottomLeft" activeCell="G20" sqref="G20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5" customWidth="1"/>
    <col min="9" max="9" width="16.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224461</v>
      </c>
      <c r="B2" s="13">
        <v>46210</v>
      </c>
      <c r="C2" s="6">
        <v>2002</v>
      </c>
      <c r="D2" s="6" t="s">
        <v>606</v>
      </c>
      <c r="E2" s="6" t="s">
        <v>10</v>
      </c>
      <c r="F2" s="6">
        <v>3</v>
      </c>
      <c r="G2" s="7" t="s">
        <v>689</v>
      </c>
      <c r="H2" s="8" t="s">
        <v>607</v>
      </c>
      <c r="I2" s="8" t="s">
        <v>608</v>
      </c>
    </row>
    <row r="3" spans="1:9" ht="16.5" thickTop="1" thickBot="1">
      <c r="A3" s="6">
        <v>224478</v>
      </c>
      <c r="B3" s="13">
        <v>46210</v>
      </c>
      <c r="C3" s="6">
        <v>2079</v>
      </c>
      <c r="D3" s="6" t="s">
        <v>609</v>
      </c>
      <c r="E3" s="6" t="s">
        <v>10</v>
      </c>
      <c r="F3" s="6">
        <v>4</v>
      </c>
      <c r="G3" s="7" t="s">
        <v>690</v>
      </c>
      <c r="H3" s="8" t="s">
        <v>610</v>
      </c>
      <c r="I3" s="8" t="s">
        <v>611</v>
      </c>
    </row>
    <row r="4" spans="1:9" ht="16.5" thickTop="1" thickBot="1">
      <c r="A4" s="6">
        <v>224557</v>
      </c>
      <c r="B4" s="13">
        <v>46210</v>
      </c>
      <c r="C4" s="6">
        <v>2327</v>
      </c>
      <c r="D4" s="6" t="s">
        <v>612</v>
      </c>
      <c r="E4" s="6" t="s">
        <v>10</v>
      </c>
      <c r="F4" s="6">
        <v>3</v>
      </c>
      <c r="G4" s="7" t="s">
        <v>691</v>
      </c>
      <c r="H4" s="8" t="s">
        <v>613</v>
      </c>
      <c r="I4" s="8" t="s">
        <v>614</v>
      </c>
    </row>
    <row r="5" spans="1:9" ht="16.5" thickTop="1" thickBot="1">
      <c r="A5" s="6">
        <v>224564</v>
      </c>
      <c r="B5" s="13">
        <v>46210</v>
      </c>
      <c r="C5" s="6">
        <v>2350</v>
      </c>
      <c r="D5" s="6" t="s">
        <v>615</v>
      </c>
      <c r="E5" s="6" t="s">
        <v>10</v>
      </c>
      <c r="F5" s="6">
        <v>3</v>
      </c>
      <c r="G5" s="7" t="s">
        <v>692</v>
      </c>
      <c r="H5" s="8" t="s">
        <v>616</v>
      </c>
      <c r="I5" s="8" t="s">
        <v>617</v>
      </c>
    </row>
    <row r="6" spans="1:9" ht="16.5" thickTop="1" thickBot="1">
      <c r="A6" s="6">
        <v>224575</v>
      </c>
      <c r="B6" s="13">
        <v>46210</v>
      </c>
      <c r="C6" s="6">
        <v>2383</v>
      </c>
      <c r="D6" s="6" t="s">
        <v>618</v>
      </c>
      <c r="E6" s="6" t="s">
        <v>10</v>
      </c>
      <c r="F6" s="6">
        <v>2</v>
      </c>
      <c r="G6" s="7" t="s">
        <v>693</v>
      </c>
      <c r="H6" s="8" t="s">
        <v>619</v>
      </c>
      <c r="I6" s="8" t="s">
        <v>620</v>
      </c>
    </row>
    <row r="7" spans="1:9" ht="16.5" thickTop="1" thickBot="1">
      <c r="A7" s="6">
        <v>224592</v>
      </c>
      <c r="B7" s="13">
        <v>46210</v>
      </c>
      <c r="C7" s="6">
        <v>2484</v>
      </c>
      <c r="D7" s="6" t="s">
        <v>621</v>
      </c>
      <c r="E7" s="6" t="s">
        <v>10</v>
      </c>
      <c r="F7" s="6">
        <v>3</v>
      </c>
      <c r="G7" s="7" t="s">
        <v>694</v>
      </c>
      <c r="H7" s="8" t="s">
        <v>622</v>
      </c>
      <c r="I7" s="8" t="s">
        <v>623</v>
      </c>
    </row>
    <row r="8" spans="1:9" ht="16.5" thickTop="1" thickBot="1">
      <c r="A8" s="6">
        <v>224617</v>
      </c>
      <c r="B8" s="13">
        <v>46210</v>
      </c>
      <c r="C8" s="6">
        <v>4074</v>
      </c>
      <c r="D8" s="6" t="s">
        <v>624</v>
      </c>
      <c r="E8" s="6" t="s">
        <v>10</v>
      </c>
      <c r="F8" s="6">
        <v>3</v>
      </c>
      <c r="G8" s="7" t="s">
        <v>695</v>
      </c>
      <c r="H8" s="8" t="s">
        <v>625</v>
      </c>
      <c r="I8" s="8" t="s">
        <v>626</v>
      </c>
    </row>
    <row r="9" spans="1:9" ht="16.5" thickTop="1" thickBot="1">
      <c r="A9" s="6">
        <v>224619</v>
      </c>
      <c r="B9" s="13">
        <v>46210</v>
      </c>
      <c r="C9" s="6">
        <v>4079</v>
      </c>
      <c r="D9" s="6" t="s">
        <v>627</v>
      </c>
      <c r="E9" s="6" t="s">
        <v>10</v>
      </c>
      <c r="F9" s="6">
        <v>4</v>
      </c>
      <c r="G9" s="7" t="s">
        <v>696</v>
      </c>
      <c r="H9" s="8" t="s">
        <v>628</v>
      </c>
      <c r="I9" s="8" t="s">
        <v>629</v>
      </c>
    </row>
    <row r="10" spans="1:9" ht="16.5" thickTop="1" thickBot="1">
      <c r="A10" s="6">
        <v>224640</v>
      </c>
      <c r="B10" s="13">
        <v>46210</v>
      </c>
      <c r="C10" s="6">
        <v>4157</v>
      </c>
      <c r="D10" s="6" t="s">
        <v>630</v>
      </c>
      <c r="E10" s="6" t="s">
        <v>10</v>
      </c>
      <c r="F10" s="6">
        <v>5</v>
      </c>
      <c r="G10" s="12" t="s">
        <v>697</v>
      </c>
      <c r="H10" s="8" t="s">
        <v>631</v>
      </c>
      <c r="I10" s="8" t="s">
        <v>632</v>
      </c>
    </row>
    <row r="11" spans="1:9" ht="16.5" thickTop="1" thickBot="1">
      <c r="A11" s="6">
        <v>224651</v>
      </c>
      <c r="B11" s="13">
        <v>46210</v>
      </c>
      <c r="C11" s="6">
        <v>4192</v>
      </c>
      <c r="D11" s="6" t="s">
        <v>633</v>
      </c>
      <c r="E11" s="6" t="s">
        <v>10</v>
      </c>
      <c r="F11" s="6">
        <v>5</v>
      </c>
      <c r="G11" s="7" t="s">
        <v>698</v>
      </c>
      <c r="H11" s="8" t="s">
        <v>634</v>
      </c>
      <c r="I11" s="8" t="s">
        <v>635</v>
      </c>
    </row>
    <row r="12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I5"/>
  <sheetViews>
    <sheetView showGridLines="0" workbookViewId="0">
      <pane ySplit="1" topLeftCell="A2" activePane="bottomLeft" state="frozen"/>
      <selection pane="bottomLeft" activeCell="F8" sqref="F8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5" customWidth="1"/>
    <col min="9" max="9" width="16.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224757</v>
      </c>
      <c r="B2" s="13">
        <v>46241</v>
      </c>
      <c r="C2" s="6">
        <v>2099</v>
      </c>
      <c r="D2" s="6" t="s">
        <v>22</v>
      </c>
      <c r="E2" s="6" t="s">
        <v>10</v>
      </c>
      <c r="F2" s="6">
        <v>3</v>
      </c>
      <c r="G2" s="7" t="s">
        <v>701</v>
      </c>
      <c r="H2" s="8" t="s">
        <v>705</v>
      </c>
      <c r="I2" s="8" t="s">
        <v>702</v>
      </c>
    </row>
    <row r="3" spans="1:9" ht="16.5" thickTop="1" thickBot="1">
      <c r="A3" s="6">
        <v>224786</v>
      </c>
      <c r="B3" s="13">
        <v>46241</v>
      </c>
      <c r="C3" s="6">
        <v>2215</v>
      </c>
      <c r="D3" s="6" t="s">
        <v>699</v>
      </c>
      <c r="E3" s="6" t="s">
        <v>10</v>
      </c>
      <c r="F3" s="6">
        <v>5</v>
      </c>
      <c r="G3" s="7" t="s">
        <v>703</v>
      </c>
      <c r="H3" s="8" t="s">
        <v>706</v>
      </c>
      <c r="I3" s="8" t="s">
        <v>704</v>
      </c>
    </row>
    <row r="4" spans="1:9" ht="16.5" thickTop="1" thickBot="1">
      <c r="A4" s="6">
        <v>224951</v>
      </c>
      <c r="B4" s="13">
        <v>46241</v>
      </c>
      <c r="C4" s="6">
        <v>4422</v>
      </c>
      <c r="D4" s="6" t="s">
        <v>700</v>
      </c>
      <c r="E4" s="6" t="s">
        <v>10</v>
      </c>
      <c r="F4" s="6">
        <v>1</v>
      </c>
      <c r="G4" s="7" t="s">
        <v>707</v>
      </c>
      <c r="H4" s="8" t="s">
        <v>709</v>
      </c>
      <c r="I4" s="8" t="s">
        <v>708</v>
      </c>
    </row>
    <row r="5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ignoredErrors>
    <ignoredError sqref="H4" numberStoredAsText="1"/>
  </ignoredErrors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I8"/>
  <sheetViews>
    <sheetView showGridLines="0" workbookViewId="0">
      <pane ySplit="1" topLeftCell="A2" activePane="bottomLeft" state="frozen"/>
      <selection pane="bottomLeft" activeCell="E15" sqref="E15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16.875" customWidth="1"/>
    <col min="8" max="8" width="77.875" style="5" customWidth="1"/>
    <col min="9" max="9" width="16.125" customWidth="1"/>
    <col min="12" max="12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225095</v>
      </c>
      <c r="B2" s="13">
        <v>46302</v>
      </c>
      <c r="C2" s="6">
        <v>2278</v>
      </c>
      <c r="D2" s="6" t="s">
        <v>710</v>
      </c>
      <c r="E2" s="6" t="s">
        <v>10</v>
      </c>
      <c r="F2" s="6">
        <v>6</v>
      </c>
      <c r="G2" s="7" t="s">
        <v>723</v>
      </c>
      <c r="H2" s="8" t="s">
        <v>715</v>
      </c>
      <c r="I2" s="8" t="s">
        <v>717</v>
      </c>
    </row>
    <row r="3" spans="1:9" ht="16.5" thickTop="1" thickBot="1">
      <c r="A3" s="6">
        <v>225109</v>
      </c>
      <c r="B3" s="13">
        <v>46302</v>
      </c>
      <c r="C3" s="6">
        <v>2405</v>
      </c>
      <c r="D3" s="6" t="s">
        <v>711</v>
      </c>
      <c r="E3" s="6" t="s">
        <v>23</v>
      </c>
      <c r="F3" s="6">
        <v>2</v>
      </c>
      <c r="G3" s="7" t="s">
        <v>724</v>
      </c>
      <c r="H3" s="8" t="s">
        <v>716</v>
      </c>
      <c r="I3" s="8" t="s">
        <v>718</v>
      </c>
    </row>
    <row r="4" spans="1:9" ht="16.5" thickTop="1" thickBot="1">
      <c r="A4" s="6">
        <v>225118</v>
      </c>
      <c r="B4" s="13">
        <v>46302</v>
      </c>
      <c r="C4" s="6">
        <v>4015</v>
      </c>
      <c r="D4" s="6" t="s">
        <v>712</v>
      </c>
      <c r="E4" s="6" t="s">
        <v>10</v>
      </c>
      <c r="F4" s="6">
        <v>3</v>
      </c>
      <c r="G4" s="7" t="s">
        <v>725</v>
      </c>
      <c r="H4" s="8" t="s">
        <v>713</v>
      </c>
      <c r="I4" s="8" t="s">
        <v>714</v>
      </c>
    </row>
    <row r="5" spans="1:9" ht="16.5" thickTop="1" thickBot="1">
      <c r="A5" s="6">
        <v>225127</v>
      </c>
      <c r="B5" s="13">
        <v>46302</v>
      </c>
      <c r="C5" s="6">
        <v>4089</v>
      </c>
      <c r="D5" s="6" t="s">
        <v>47</v>
      </c>
      <c r="E5" s="6" t="s">
        <v>23</v>
      </c>
      <c r="F5" s="6">
        <v>3</v>
      </c>
      <c r="G5" s="7" t="s">
        <v>726</v>
      </c>
      <c r="H5" s="8" t="s">
        <v>719</v>
      </c>
      <c r="I5" s="8" t="s">
        <v>720</v>
      </c>
    </row>
    <row r="6" spans="1:9" ht="16.5" thickTop="1" thickBot="1">
      <c r="A6" s="6">
        <v>225128</v>
      </c>
      <c r="B6" s="13">
        <v>46302</v>
      </c>
      <c r="C6" s="6">
        <v>4096</v>
      </c>
      <c r="D6" s="6" t="s">
        <v>318</v>
      </c>
      <c r="E6" s="6" t="s">
        <v>23</v>
      </c>
      <c r="F6" s="6">
        <v>2</v>
      </c>
      <c r="G6" s="7" t="s">
        <v>727</v>
      </c>
      <c r="H6" s="8" t="s">
        <v>721</v>
      </c>
      <c r="I6" s="8" t="s">
        <v>722</v>
      </c>
    </row>
    <row r="7" spans="1:9" ht="16.5" thickTop="1" thickBot="1">
      <c r="A7" s="6">
        <v>225152</v>
      </c>
      <c r="B7" s="13">
        <v>46302</v>
      </c>
      <c r="C7" s="6">
        <v>4450</v>
      </c>
      <c r="D7" s="6" t="s">
        <v>69</v>
      </c>
      <c r="E7" s="6" t="s">
        <v>23</v>
      </c>
      <c r="F7" s="6">
        <v>2</v>
      </c>
      <c r="G7" s="7" t="s">
        <v>728</v>
      </c>
      <c r="H7" s="8" t="s">
        <v>729</v>
      </c>
      <c r="I7" s="8" t="s">
        <v>730</v>
      </c>
    </row>
    <row r="8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0C80"/>
  </sheetPr>
  <dimension ref="A1:I125"/>
  <sheetViews>
    <sheetView showGridLines="0" workbookViewId="0">
      <pane ySplit="1" topLeftCell="A105" activePane="bottomLeft" state="frozen"/>
      <selection pane="bottomLeft" activeCell="G96" sqref="G96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52.125" customWidth="1"/>
    <col min="8" max="8" width="77.875" style="5" customWidth="1"/>
    <col min="9" max="9" width="16.125" customWidth="1"/>
    <col min="11" max="11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224968</v>
      </c>
      <c r="B2" s="13" t="s">
        <v>732</v>
      </c>
      <c r="C2" s="6">
        <v>2086</v>
      </c>
      <c r="D2" s="6" t="s">
        <v>733</v>
      </c>
      <c r="E2" s="6" t="s">
        <v>23</v>
      </c>
      <c r="F2" s="6">
        <v>2</v>
      </c>
      <c r="G2" s="7" t="s">
        <v>828</v>
      </c>
      <c r="H2" s="8" t="s">
        <v>829</v>
      </c>
      <c r="I2" s="8" t="s">
        <v>830</v>
      </c>
    </row>
    <row r="3" spans="1:9" ht="16.5" thickTop="1" thickBot="1">
      <c r="A3" s="6">
        <v>224971</v>
      </c>
      <c r="B3" s="13" t="s">
        <v>732</v>
      </c>
      <c r="C3" s="6">
        <v>2103</v>
      </c>
      <c r="D3" s="6" t="s">
        <v>345</v>
      </c>
      <c r="E3" s="6" t="s">
        <v>23</v>
      </c>
      <c r="F3" s="6">
        <v>7</v>
      </c>
      <c r="G3" s="7" t="s">
        <v>831</v>
      </c>
      <c r="H3" s="8" t="s">
        <v>832</v>
      </c>
      <c r="I3" s="8" t="s">
        <v>833</v>
      </c>
    </row>
    <row r="4" spans="1:9" ht="16.5" thickTop="1" thickBot="1">
      <c r="A4" s="6">
        <v>224981</v>
      </c>
      <c r="B4" s="13" t="s">
        <v>732</v>
      </c>
      <c r="C4" s="6">
        <v>2195</v>
      </c>
      <c r="D4" s="6" t="s">
        <v>734</v>
      </c>
      <c r="E4" s="6" t="s">
        <v>23</v>
      </c>
      <c r="F4" s="6">
        <v>2</v>
      </c>
      <c r="G4" s="7" t="s">
        <v>834</v>
      </c>
      <c r="H4" s="8" t="s">
        <v>835</v>
      </c>
      <c r="I4" s="8" t="s">
        <v>836</v>
      </c>
    </row>
    <row r="5" spans="1:9" ht="16.5" thickTop="1" thickBot="1">
      <c r="A5" s="6">
        <v>224982</v>
      </c>
      <c r="B5" s="13" t="s">
        <v>732</v>
      </c>
      <c r="C5" s="6">
        <v>2202</v>
      </c>
      <c r="D5" s="6" t="s">
        <v>360</v>
      </c>
      <c r="E5" s="6" t="s">
        <v>23</v>
      </c>
      <c r="F5" s="6">
        <v>4</v>
      </c>
      <c r="G5" s="7" t="s">
        <v>838</v>
      </c>
      <c r="H5" s="8" t="s">
        <v>837</v>
      </c>
      <c r="I5" s="8">
        <v>2354</v>
      </c>
    </row>
    <row r="6" spans="1:9" ht="16.5" thickTop="1" thickBot="1">
      <c r="A6" s="6">
        <v>224984</v>
      </c>
      <c r="B6" s="13" t="s">
        <v>732</v>
      </c>
      <c r="C6" s="6">
        <v>2218</v>
      </c>
      <c r="D6" s="6" t="s">
        <v>735</v>
      </c>
      <c r="E6" s="6" t="s">
        <v>23</v>
      </c>
      <c r="F6" s="6">
        <v>2</v>
      </c>
      <c r="G6" s="7" t="s">
        <v>840</v>
      </c>
      <c r="H6" s="8" t="s">
        <v>841</v>
      </c>
      <c r="I6" s="8">
        <v>2353</v>
      </c>
    </row>
    <row r="7" spans="1:9" ht="16.5" thickTop="1" thickBot="1">
      <c r="A7" s="6">
        <v>224996</v>
      </c>
      <c r="B7" s="13" t="s">
        <v>732</v>
      </c>
      <c r="C7" s="6">
        <v>2273</v>
      </c>
      <c r="D7" s="6" t="s">
        <v>384</v>
      </c>
      <c r="E7" s="6" t="s">
        <v>23</v>
      </c>
      <c r="F7" s="6">
        <v>4</v>
      </c>
      <c r="G7" s="7" t="s">
        <v>842</v>
      </c>
      <c r="H7" s="8" t="s">
        <v>844</v>
      </c>
      <c r="I7" s="8">
        <v>2350</v>
      </c>
    </row>
    <row r="8" spans="1:9" ht="16.5" thickTop="1" thickBot="1">
      <c r="A8" s="6">
        <v>224998</v>
      </c>
      <c r="B8" s="13" t="s">
        <v>732</v>
      </c>
      <c r="C8" s="6">
        <v>2300</v>
      </c>
      <c r="D8" s="6" t="s">
        <v>736</v>
      </c>
      <c r="E8" s="6" t="s">
        <v>23</v>
      </c>
      <c r="F8" s="6">
        <v>2</v>
      </c>
      <c r="G8" s="7" t="s">
        <v>845</v>
      </c>
      <c r="H8" s="8" t="s">
        <v>846</v>
      </c>
      <c r="I8" s="8">
        <v>2352</v>
      </c>
    </row>
    <row r="9" spans="1:9" ht="16.5" thickTop="1" thickBot="1">
      <c r="A9" s="6">
        <v>225003</v>
      </c>
      <c r="B9" s="13" t="s">
        <v>732</v>
      </c>
      <c r="C9" s="6">
        <v>2322</v>
      </c>
      <c r="D9" s="6" t="s">
        <v>533</v>
      </c>
      <c r="E9" s="6" t="s">
        <v>23</v>
      </c>
      <c r="F9" s="6">
        <v>10</v>
      </c>
      <c r="G9" s="7" t="s">
        <v>868</v>
      </c>
      <c r="H9" s="8" t="s">
        <v>869</v>
      </c>
      <c r="I9" s="8" t="s">
        <v>870</v>
      </c>
    </row>
    <row r="10" spans="1:9" ht="16.5" thickTop="1" thickBot="1">
      <c r="A10" s="6">
        <v>225013</v>
      </c>
      <c r="B10" s="13" t="s">
        <v>732</v>
      </c>
      <c r="C10" s="6">
        <v>2399</v>
      </c>
      <c r="D10" s="6" t="s">
        <v>737</v>
      </c>
      <c r="E10" s="6" t="s">
        <v>23</v>
      </c>
      <c r="F10" s="6">
        <v>2</v>
      </c>
      <c r="G10" s="7" t="s">
        <v>847</v>
      </c>
      <c r="H10" s="8" t="s">
        <v>851</v>
      </c>
      <c r="I10" s="8">
        <v>2361</v>
      </c>
    </row>
    <row r="11" spans="1:9" ht="16.5" thickTop="1" thickBot="1">
      <c r="A11" s="6">
        <v>225036</v>
      </c>
      <c r="B11" s="13" t="s">
        <v>732</v>
      </c>
      <c r="C11" s="6">
        <v>4113</v>
      </c>
      <c r="D11" s="6" t="s">
        <v>738</v>
      </c>
      <c r="E11" s="6" t="s">
        <v>23</v>
      </c>
      <c r="F11" s="6">
        <v>4</v>
      </c>
      <c r="G11" s="7" t="s">
        <v>849</v>
      </c>
      <c r="H11" s="8" t="s">
        <v>853</v>
      </c>
      <c r="I11" s="8">
        <v>2356</v>
      </c>
    </row>
    <row r="12" spans="1:9" ht="16.5" thickTop="1" thickBot="1">
      <c r="A12" s="6">
        <v>225038</v>
      </c>
      <c r="B12" s="13" t="s">
        <v>732</v>
      </c>
      <c r="C12" s="6">
        <v>4134</v>
      </c>
      <c r="D12" s="6" t="s">
        <v>739</v>
      </c>
      <c r="E12" s="6" t="s">
        <v>23</v>
      </c>
      <c r="F12" s="6">
        <v>2</v>
      </c>
      <c r="G12" s="7" t="s">
        <v>848</v>
      </c>
      <c r="H12" s="8" t="s">
        <v>854</v>
      </c>
      <c r="I12" s="8">
        <v>2357</v>
      </c>
    </row>
    <row r="13" spans="1:9" ht="16.5" thickTop="1" thickBot="1">
      <c r="A13" s="6">
        <v>225043</v>
      </c>
      <c r="B13" s="13" t="s">
        <v>732</v>
      </c>
      <c r="C13" s="6">
        <v>4217</v>
      </c>
      <c r="D13" s="6" t="s">
        <v>740</v>
      </c>
      <c r="E13" s="6" t="s">
        <v>23</v>
      </c>
      <c r="F13" s="6">
        <v>6</v>
      </c>
      <c r="G13" s="7" t="s">
        <v>871</v>
      </c>
      <c r="H13" s="8" t="s">
        <v>872</v>
      </c>
      <c r="I13" s="8" t="s">
        <v>873</v>
      </c>
    </row>
    <row r="14" spans="1:9" ht="16.5" thickTop="1" thickBot="1">
      <c r="A14" s="6">
        <v>225044</v>
      </c>
      <c r="B14" s="13" t="s">
        <v>732</v>
      </c>
      <c r="C14" s="6">
        <v>4223</v>
      </c>
      <c r="D14" s="6" t="s">
        <v>741</v>
      </c>
      <c r="E14" s="6" t="s">
        <v>23</v>
      </c>
      <c r="F14" s="6">
        <v>5</v>
      </c>
      <c r="G14" s="7" t="s">
        <v>874</v>
      </c>
      <c r="H14" s="8" t="s">
        <v>875</v>
      </c>
      <c r="I14" s="8" t="s">
        <v>876</v>
      </c>
    </row>
    <row r="15" spans="1:9" ht="16.5" thickTop="1" thickBot="1">
      <c r="A15" s="6">
        <v>225045</v>
      </c>
      <c r="B15" s="13" t="s">
        <v>732</v>
      </c>
      <c r="C15" s="6">
        <v>4227</v>
      </c>
      <c r="D15" s="6" t="s">
        <v>742</v>
      </c>
      <c r="E15" s="6" t="s">
        <v>23</v>
      </c>
      <c r="F15" s="6">
        <v>2</v>
      </c>
      <c r="G15" s="7" t="s">
        <v>850</v>
      </c>
      <c r="H15" s="8" t="s">
        <v>855</v>
      </c>
      <c r="I15" s="8">
        <v>2364</v>
      </c>
    </row>
    <row r="16" spans="1:9" ht="16.5" thickTop="1" thickBot="1">
      <c r="A16" s="6">
        <v>225051</v>
      </c>
      <c r="B16" s="13" t="s">
        <v>732</v>
      </c>
      <c r="C16" s="6">
        <v>4273</v>
      </c>
      <c r="D16" s="6" t="s">
        <v>743</v>
      </c>
      <c r="E16" s="6" t="s">
        <v>23</v>
      </c>
      <c r="F16" s="6">
        <v>4</v>
      </c>
      <c r="G16" s="7" t="s">
        <v>856</v>
      </c>
      <c r="H16" s="8" t="s">
        <v>858</v>
      </c>
      <c r="I16" s="8">
        <v>2365</v>
      </c>
    </row>
    <row r="17" spans="1:9" ht="16.5" thickTop="1" thickBot="1">
      <c r="A17" s="6">
        <v>225058</v>
      </c>
      <c r="B17" s="13" t="s">
        <v>732</v>
      </c>
      <c r="C17" s="6">
        <v>4325</v>
      </c>
      <c r="D17" s="6" t="s">
        <v>246</v>
      </c>
      <c r="E17" s="6" t="s">
        <v>23</v>
      </c>
      <c r="F17" s="6">
        <v>5</v>
      </c>
      <c r="G17" s="7" t="s">
        <v>877</v>
      </c>
      <c r="H17" s="8" t="s">
        <v>878</v>
      </c>
      <c r="I17" s="8" t="s">
        <v>879</v>
      </c>
    </row>
    <row r="18" spans="1:9" ht="16.5" thickTop="1" thickBot="1">
      <c r="A18" s="6">
        <v>225059</v>
      </c>
      <c r="B18" s="13" t="s">
        <v>732</v>
      </c>
      <c r="C18" s="6">
        <v>4344</v>
      </c>
      <c r="D18" s="6" t="s">
        <v>744</v>
      </c>
      <c r="E18" s="6" t="s">
        <v>23</v>
      </c>
      <c r="F18" s="6">
        <v>4</v>
      </c>
      <c r="G18" s="7" t="s">
        <v>859</v>
      </c>
      <c r="H18" s="8" t="s">
        <v>860</v>
      </c>
      <c r="I18" s="8">
        <v>2368</v>
      </c>
    </row>
    <row r="19" spans="1:9" ht="16.5" thickTop="1" thickBot="1">
      <c r="A19" s="6">
        <v>225060</v>
      </c>
      <c r="B19" s="13" t="s">
        <v>732</v>
      </c>
      <c r="C19" s="6">
        <v>4365</v>
      </c>
      <c r="D19" s="6" t="s">
        <v>584</v>
      </c>
      <c r="E19" s="6" t="s">
        <v>23</v>
      </c>
      <c r="F19" s="6">
        <v>4</v>
      </c>
      <c r="G19" s="7" t="s">
        <v>861</v>
      </c>
      <c r="H19" s="8" t="s">
        <v>862</v>
      </c>
      <c r="I19" s="8">
        <v>2369</v>
      </c>
    </row>
    <row r="20" spans="1:9" ht="16.5" thickTop="1" thickBot="1">
      <c r="A20" s="6">
        <v>225064</v>
      </c>
      <c r="B20" s="13" t="s">
        <v>732</v>
      </c>
      <c r="C20" s="6">
        <v>4404</v>
      </c>
      <c r="D20" s="6" t="s">
        <v>745</v>
      </c>
      <c r="E20" s="6" t="s">
        <v>23</v>
      </c>
      <c r="F20" s="6">
        <v>4</v>
      </c>
      <c r="G20" s="7" t="s">
        <v>863</v>
      </c>
      <c r="H20" s="8" t="s">
        <v>864</v>
      </c>
      <c r="I20" s="8" t="s">
        <v>865</v>
      </c>
    </row>
    <row r="21" spans="1:9" ht="16.5" thickTop="1" thickBot="1">
      <c r="A21" s="6">
        <v>225065</v>
      </c>
      <c r="B21" s="13" t="s">
        <v>732</v>
      </c>
      <c r="C21" s="6">
        <v>4409</v>
      </c>
      <c r="D21" s="6" t="s">
        <v>530</v>
      </c>
      <c r="E21" s="6" t="s">
        <v>23</v>
      </c>
      <c r="F21" s="6">
        <v>5</v>
      </c>
      <c r="G21" s="7" t="s">
        <v>880</v>
      </c>
      <c r="H21" s="8" t="s">
        <v>881</v>
      </c>
      <c r="I21" s="8" t="s">
        <v>882</v>
      </c>
    </row>
    <row r="22" spans="1:9" ht="16.5" thickTop="1" thickBot="1">
      <c r="A22" s="6">
        <v>224966</v>
      </c>
      <c r="B22" s="13" t="s">
        <v>732</v>
      </c>
      <c r="C22" s="6">
        <v>2067</v>
      </c>
      <c r="D22" s="6" t="s">
        <v>746</v>
      </c>
      <c r="E22" s="6" t="s">
        <v>23</v>
      </c>
      <c r="F22" s="6">
        <v>3</v>
      </c>
      <c r="G22" s="7" t="s">
        <v>866</v>
      </c>
      <c r="H22" s="8" t="s">
        <v>867</v>
      </c>
      <c r="I22" s="8">
        <v>2370</v>
      </c>
    </row>
    <row r="23" spans="1:9" ht="16.5" thickTop="1" thickBot="1">
      <c r="A23" s="6">
        <v>224973</v>
      </c>
      <c r="B23" s="13" t="s">
        <v>732</v>
      </c>
      <c r="C23" s="6">
        <v>2129</v>
      </c>
      <c r="D23" s="6" t="s">
        <v>747</v>
      </c>
      <c r="E23" s="6" t="s">
        <v>23</v>
      </c>
      <c r="F23" s="6">
        <v>2</v>
      </c>
      <c r="G23" s="7" t="s">
        <v>885</v>
      </c>
      <c r="H23" s="8" t="s">
        <v>886</v>
      </c>
      <c r="I23" s="8">
        <v>1544</v>
      </c>
    </row>
    <row r="24" spans="1:9" ht="16.5" thickTop="1" thickBot="1">
      <c r="A24" s="6">
        <v>225011</v>
      </c>
      <c r="B24" s="13" t="s">
        <v>732</v>
      </c>
      <c r="C24" s="6">
        <v>2363</v>
      </c>
      <c r="D24" s="6" t="s">
        <v>748</v>
      </c>
      <c r="E24" s="6" t="s">
        <v>23</v>
      </c>
      <c r="F24" s="6">
        <v>2</v>
      </c>
      <c r="G24" s="7" t="s">
        <v>883</v>
      </c>
      <c r="H24" s="8" t="s">
        <v>884</v>
      </c>
      <c r="I24" s="8">
        <v>1545</v>
      </c>
    </row>
    <row r="25" spans="1:9" ht="16.5" thickTop="1" thickBot="1">
      <c r="A25" s="6">
        <v>225016</v>
      </c>
      <c r="B25" s="13" t="s">
        <v>732</v>
      </c>
      <c r="C25" s="6">
        <v>2419</v>
      </c>
      <c r="D25" s="6" t="s">
        <v>749</v>
      </c>
      <c r="E25" s="6" t="s">
        <v>23</v>
      </c>
      <c r="F25" s="6">
        <v>1</v>
      </c>
      <c r="G25" s="7" t="s">
        <v>887</v>
      </c>
      <c r="H25" s="8">
        <v>40662</v>
      </c>
      <c r="I25" s="8">
        <v>1638</v>
      </c>
    </row>
    <row r="26" spans="1:9" ht="16.5" thickTop="1" thickBot="1">
      <c r="A26" s="6">
        <v>225040</v>
      </c>
      <c r="B26" s="13" t="s">
        <v>732</v>
      </c>
      <c r="C26" s="6">
        <v>4157</v>
      </c>
      <c r="D26" s="6" t="s">
        <v>630</v>
      </c>
      <c r="E26" s="6" t="s">
        <v>23</v>
      </c>
      <c r="F26" s="6">
        <v>3</v>
      </c>
      <c r="G26" s="7" t="s">
        <v>888</v>
      </c>
      <c r="H26" s="8" t="s">
        <v>889</v>
      </c>
      <c r="I26" s="8">
        <v>1639</v>
      </c>
    </row>
    <row r="27" spans="1:9" ht="16.5" thickTop="1" thickBot="1">
      <c r="A27" s="6">
        <v>225063</v>
      </c>
      <c r="B27" s="13" t="s">
        <v>732</v>
      </c>
      <c r="C27" s="6">
        <v>4386</v>
      </c>
      <c r="D27" s="6" t="s">
        <v>597</v>
      </c>
      <c r="E27" s="6" t="s">
        <v>23</v>
      </c>
      <c r="F27" s="6">
        <v>2</v>
      </c>
      <c r="G27" s="7" t="s">
        <v>890</v>
      </c>
      <c r="H27" s="8" t="s">
        <v>891</v>
      </c>
      <c r="I27" s="8">
        <v>1640</v>
      </c>
    </row>
    <row r="28" spans="1:9" ht="16.5" thickTop="1" thickBot="1">
      <c r="A28" s="6">
        <v>225072</v>
      </c>
      <c r="B28" s="13" t="s">
        <v>732</v>
      </c>
      <c r="C28" s="6">
        <v>2014</v>
      </c>
      <c r="D28" s="6" t="s">
        <v>750</v>
      </c>
      <c r="E28" s="6" t="s">
        <v>23</v>
      </c>
      <c r="F28" s="6">
        <v>3</v>
      </c>
      <c r="G28" s="7" t="s">
        <v>892</v>
      </c>
      <c r="H28" s="8" t="s">
        <v>893</v>
      </c>
      <c r="I28" s="8">
        <v>1641</v>
      </c>
    </row>
    <row r="29" spans="1:9" ht="16.5" thickTop="1" thickBot="1">
      <c r="A29" s="6">
        <v>225073</v>
      </c>
      <c r="B29" s="13" t="s">
        <v>732</v>
      </c>
      <c r="C29" s="6">
        <v>2033</v>
      </c>
      <c r="D29" s="6" t="s">
        <v>751</v>
      </c>
      <c r="E29" s="6" t="s">
        <v>23</v>
      </c>
      <c r="F29" s="6">
        <v>4</v>
      </c>
      <c r="G29" s="7" t="s">
        <v>894</v>
      </c>
      <c r="H29" s="8" t="s">
        <v>895</v>
      </c>
      <c r="I29" s="8">
        <v>1642</v>
      </c>
    </row>
    <row r="30" spans="1:9" ht="16.5" thickTop="1" thickBot="1">
      <c r="A30" s="6">
        <v>225074</v>
      </c>
      <c r="B30" s="13" t="s">
        <v>732</v>
      </c>
      <c r="C30" s="6">
        <v>2073</v>
      </c>
      <c r="D30" s="6" t="s">
        <v>752</v>
      </c>
      <c r="E30" s="6" t="s">
        <v>23</v>
      </c>
      <c r="F30" s="6">
        <v>7</v>
      </c>
      <c r="G30" s="7" t="s">
        <v>896</v>
      </c>
      <c r="H30" s="8" t="s">
        <v>897</v>
      </c>
      <c r="I30" s="8" t="s">
        <v>898</v>
      </c>
    </row>
    <row r="31" spans="1:9" ht="16.5" thickTop="1" thickBot="1">
      <c r="A31" s="6">
        <v>225076</v>
      </c>
      <c r="B31" s="13" t="s">
        <v>732</v>
      </c>
      <c r="C31" s="6">
        <v>2107</v>
      </c>
      <c r="D31" s="6" t="s">
        <v>753</v>
      </c>
      <c r="E31" s="6" t="s">
        <v>23</v>
      </c>
      <c r="F31" s="6">
        <v>4</v>
      </c>
      <c r="G31" s="7" t="s">
        <v>899</v>
      </c>
      <c r="H31" s="8" t="s">
        <v>900</v>
      </c>
      <c r="I31" s="8">
        <v>1646</v>
      </c>
    </row>
    <row r="32" spans="1:9" ht="16.5" thickTop="1" thickBot="1">
      <c r="A32" s="6">
        <v>225080</v>
      </c>
      <c r="B32" s="13" t="s">
        <v>732</v>
      </c>
      <c r="C32" s="6">
        <v>2137</v>
      </c>
      <c r="D32" s="6" t="s">
        <v>754</v>
      </c>
      <c r="E32" s="6" t="s">
        <v>23</v>
      </c>
      <c r="F32" s="6">
        <v>3</v>
      </c>
      <c r="G32" s="7" t="s">
        <v>901</v>
      </c>
      <c r="H32" s="8" t="s">
        <v>902</v>
      </c>
      <c r="I32" s="8">
        <v>1645</v>
      </c>
    </row>
    <row r="33" spans="1:9" ht="16.5" thickTop="1" thickBot="1">
      <c r="A33" s="6">
        <v>225082</v>
      </c>
      <c r="B33" s="13" t="s">
        <v>732</v>
      </c>
      <c r="C33" s="6">
        <v>2151</v>
      </c>
      <c r="D33" s="6" t="s">
        <v>351</v>
      </c>
      <c r="E33" s="6" t="s">
        <v>23</v>
      </c>
      <c r="F33" s="6">
        <v>5</v>
      </c>
      <c r="G33" s="7" t="s">
        <v>903</v>
      </c>
      <c r="H33" s="8" t="s">
        <v>904</v>
      </c>
      <c r="I33" s="8" t="s">
        <v>905</v>
      </c>
    </row>
    <row r="34" spans="1:9" ht="16.5" thickTop="1" thickBot="1">
      <c r="A34" s="6">
        <v>225083</v>
      </c>
      <c r="B34" s="13" t="s">
        <v>732</v>
      </c>
      <c r="C34" s="6">
        <v>2165</v>
      </c>
      <c r="D34" s="6" t="s">
        <v>755</v>
      </c>
      <c r="E34" s="6" t="s">
        <v>23</v>
      </c>
      <c r="F34" s="6">
        <v>7</v>
      </c>
      <c r="G34" s="7" t="s">
        <v>906</v>
      </c>
      <c r="H34" s="8" t="s">
        <v>907</v>
      </c>
      <c r="I34" s="8" t="s">
        <v>908</v>
      </c>
    </row>
    <row r="35" spans="1:9" ht="16.5" thickTop="1" thickBot="1">
      <c r="A35" s="6">
        <v>225084</v>
      </c>
      <c r="B35" s="13" t="s">
        <v>732</v>
      </c>
      <c r="C35" s="6">
        <v>2170</v>
      </c>
      <c r="D35" s="6" t="s">
        <v>112</v>
      </c>
      <c r="E35" s="6" t="s">
        <v>23</v>
      </c>
      <c r="F35" s="6">
        <v>2</v>
      </c>
      <c r="G35" s="7" t="s">
        <v>909</v>
      </c>
      <c r="H35" s="8" t="s">
        <v>910</v>
      </c>
      <c r="I35" s="8">
        <v>1465</v>
      </c>
    </row>
    <row r="36" spans="1:9" ht="16.5" thickTop="1" thickBot="1">
      <c r="A36" s="6">
        <v>225086</v>
      </c>
      <c r="B36" s="13" t="s">
        <v>732</v>
      </c>
      <c r="C36" s="6">
        <v>2201</v>
      </c>
      <c r="D36" s="6" t="s">
        <v>756</v>
      </c>
      <c r="E36" s="6" t="s">
        <v>23</v>
      </c>
      <c r="F36" s="6">
        <v>2</v>
      </c>
      <c r="G36" s="7" t="s">
        <v>911</v>
      </c>
      <c r="H36" s="8" t="s">
        <v>912</v>
      </c>
      <c r="I36" s="8">
        <v>1466</v>
      </c>
    </row>
    <row r="37" spans="1:9" ht="16.5" thickTop="1" thickBot="1">
      <c r="A37" s="6">
        <v>225091</v>
      </c>
      <c r="B37" s="13" t="s">
        <v>732</v>
      </c>
      <c r="C37" s="6">
        <v>2231</v>
      </c>
      <c r="D37" s="6" t="s">
        <v>757</v>
      </c>
      <c r="E37" s="6" t="s">
        <v>23</v>
      </c>
      <c r="F37" s="6">
        <v>6</v>
      </c>
      <c r="G37" s="7" t="s">
        <v>913</v>
      </c>
      <c r="H37" s="8" t="s">
        <v>914</v>
      </c>
      <c r="I37" s="8" t="s">
        <v>915</v>
      </c>
    </row>
    <row r="38" spans="1:9" ht="16.5" thickTop="1" thickBot="1">
      <c r="A38" s="6">
        <v>225093</v>
      </c>
      <c r="B38" s="13" t="s">
        <v>732</v>
      </c>
      <c r="C38" s="6">
        <v>2244</v>
      </c>
      <c r="D38" s="6" t="s">
        <v>369</v>
      </c>
      <c r="E38" s="6" t="s">
        <v>23</v>
      </c>
      <c r="F38" s="6">
        <v>4</v>
      </c>
      <c r="G38" s="7" t="s">
        <v>916</v>
      </c>
      <c r="H38" s="8" t="s">
        <v>917</v>
      </c>
      <c r="I38" s="8">
        <v>1496</v>
      </c>
    </row>
    <row r="39" spans="1:9" ht="16.5" thickTop="1" thickBot="1">
      <c r="A39" s="6">
        <v>225094</v>
      </c>
      <c r="B39" s="13" t="s">
        <v>732</v>
      </c>
      <c r="C39" s="6">
        <v>2266</v>
      </c>
      <c r="D39" s="6" t="s">
        <v>758</v>
      </c>
      <c r="E39" s="6" t="s">
        <v>23</v>
      </c>
      <c r="F39" s="6">
        <v>4</v>
      </c>
      <c r="G39" s="7" t="s">
        <v>918</v>
      </c>
      <c r="H39" s="8" t="s">
        <v>919</v>
      </c>
      <c r="I39" s="8">
        <v>1470</v>
      </c>
    </row>
    <row r="40" spans="1:9" ht="16.5" thickTop="1" thickBot="1">
      <c r="A40" s="6">
        <v>225097</v>
      </c>
      <c r="B40" s="13" t="s">
        <v>732</v>
      </c>
      <c r="C40" s="6">
        <v>2296</v>
      </c>
      <c r="D40" s="6" t="s">
        <v>759</v>
      </c>
      <c r="E40" s="6" t="s">
        <v>23</v>
      </c>
      <c r="F40" s="6">
        <v>4</v>
      </c>
      <c r="G40" s="7" t="s">
        <v>920</v>
      </c>
      <c r="H40" s="8" t="s">
        <v>921</v>
      </c>
      <c r="I40" s="8">
        <v>1471</v>
      </c>
    </row>
    <row r="41" spans="1:9" ht="16.5" thickTop="1" thickBot="1">
      <c r="A41" s="6">
        <v>225101</v>
      </c>
      <c r="B41" s="13" t="s">
        <v>732</v>
      </c>
      <c r="C41" s="6">
        <v>2355</v>
      </c>
      <c r="D41" s="6" t="s">
        <v>760</v>
      </c>
      <c r="E41" s="6" t="s">
        <v>23</v>
      </c>
      <c r="F41" s="6">
        <v>1</v>
      </c>
      <c r="G41" s="7" t="s">
        <v>922</v>
      </c>
      <c r="H41" s="8">
        <v>40722</v>
      </c>
      <c r="I41" s="8">
        <v>1472</v>
      </c>
    </row>
    <row r="42" spans="1:9" ht="16.5" thickTop="1" thickBot="1">
      <c r="A42" s="6">
        <v>225104</v>
      </c>
      <c r="B42" s="13" t="s">
        <v>732</v>
      </c>
      <c r="C42" s="6">
        <v>2364</v>
      </c>
      <c r="D42" s="6" t="s">
        <v>400</v>
      </c>
      <c r="E42" s="6" t="s">
        <v>23</v>
      </c>
      <c r="F42" s="6">
        <v>3</v>
      </c>
      <c r="G42" s="7" t="s">
        <v>923</v>
      </c>
      <c r="H42" s="8" t="s">
        <v>926</v>
      </c>
      <c r="I42" s="8">
        <v>1473</v>
      </c>
    </row>
    <row r="43" spans="1:9" ht="16.5" thickTop="1" thickBot="1">
      <c r="A43" s="6">
        <v>225105</v>
      </c>
      <c r="B43" s="13" t="s">
        <v>732</v>
      </c>
      <c r="C43" s="6">
        <v>2368</v>
      </c>
      <c r="D43" s="6" t="s">
        <v>761</v>
      </c>
      <c r="E43" s="6" t="s">
        <v>23</v>
      </c>
      <c r="F43" s="6">
        <v>2</v>
      </c>
      <c r="G43" s="7" t="s">
        <v>927</v>
      </c>
      <c r="H43" s="8" t="s">
        <v>928</v>
      </c>
      <c r="I43" s="8">
        <v>1474</v>
      </c>
    </row>
    <row r="44" spans="1:9" ht="16.5" thickTop="1" thickBot="1">
      <c r="A44" s="6">
        <v>225106</v>
      </c>
      <c r="B44" s="13" t="s">
        <v>732</v>
      </c>
      <c r="C44" s="6">
        <v>2378</v>
      </c>
      <c r="D44" s="6" t="s">
        <v>590</v>
      </c>
      <c r="E44" s="6" t="s">
        <v>23</v>
      </c>
      <c r="F44" s="6">
        <v>5</v>
      </c>
      <c r="G44" s="7" t="s">
        <v>929</v>
      </c>
      <c r="H44" s="8" t="s">
        <v>930</v>
      </c>
      <c r="I44" s="8" t="s">
        <v>931</v>
      </c>
    </row>
    <row r="45" spans="1:9" ht="16.5" thickTop="1" thickBot="1">
      <c r="A45" s="6">
        <v>225107</v>
      </c>
      <c r="B45" s="13" t="s">
        <v>732</v>
      </c>
      <c r="C45" s="6">
        <v>2389</v>
      </c>
      <c r="D45" s="6" t="s">
        <v>762</v>
      </c>
      <c r="E45" s="6" t="s">
        <v>23</v>
      </c>
      <c r="F45" s="6">
        <v>2</v>
      </c>
      <c r="G45" s="7" t="s">
        <v>932</v>
      </c>
      <c r="H45" s="8" t="s">
        <v>933</v>
      </c>
      <c r="I45" s="8">
        <v>1478</v>
      </c>
    </row>
    <row r="46" spans="1:9" ht="16.5" thickTop="1" thickBot="1">
      <c r="A46" s="6">
        <v>225110</v>
      </c>
      <c r="B46" s="13" t="s">
        <v>732</v>
      </c>
      <c r="C46" s="6">
        <v>2425</v>
      </c>
      <c r="D46" s="6" t="s">
        <v>763</v>
      </c>
      <c r="E46" s="6" t="s">
        <v>23</v>
      </c>
      <c r="F46" s="6">
        <v>4</v>
      </c>
      <c r="G46" s="7" t="s">
        <v>934</v>
      </c>
      <c r="H46" s="8" t="s">
        <v>935</v>
      </c>
      <c r="I46" s="8">
        <v>1479</v>
      </c>
    </row>
    <row r="47" spans="1:9" ht="16.5" thickTop="1" thickBot="1">
      <c r="A47" s="6">
        <v>225111</v>
      </c>
      <c r="B47" s="13" t="s">
        <v>732</v>
      </c>
      <c r="C47" s="6">
        <v>2426</v>
      </c>
      <c r="D47" s="6" t="s">
        <v>764</v>
      </c>
      <c r="E47" s="6" t="s">
        <v>23</v>
      </c>
      <c r="F47" s="6">
        <v>2</v>
      </c>
      <c r="G47" s="7" t="s">
        <v>936</v>
      </c>
      <c r="H47" s="8" t="s">
        <v>937</v>
      </c>
      <c r="I47" s="8">
        <v>1573</v>
      </c>
    </row>
    <row r="48" spans="1:9" ht="16.5" thickTop="1" thickBot="1">
      <c r="A48" s="6">
        <v>225119</v>
      </c>
      <c r="B48" s="13" t="s">
        <v>732</v>
      </c>
      <c r="C48" s="6">
        <v>4016</v>
      </c>
      <c r="D48" s="6" t="s">
        <v>765</v>
      </c>
      <c r="E48" s="6" t="s">
        <v>23</v>
      </c>
      <c r="F48" s="6">
        <v>2</v>
      </c>
      <c r="G48" s="7" t="s">
        <v>938</v>
      </c>
      <c r="H48" s="8" t="s">
        <v>939</v>
      </c>
      <c r="I48" s="8">
        <v>1574</v>
      </c>
    </row>
    <row r="49" spans="1:9" ht="16.5" thickTop="1" thickBot="1">
      <c r="A49" s="6">
        <v>225120</v>
      </c>
      <c r="B49" s="13" t="s">
        <v>732</v>
      </c>
      <c r="C49" s="6">
        <v>4018</v>
      </c>
      <c r="D49" s="6" t="s">
        <v>189</v>
      </c>
      <c r="E49" s="6" t="s">
        <v>23</v>
      </c>
      <c r="F49" s="6">
        <v>3</v>
      </c>
      <c r="G49" s="7" t="s">
        <v>940</v>
      </c>
      <c r="H49" s="8" t="s">
        <v>941</v>
      </c>
      <c r="I49" s="8">
        <v>1575</v>
      </c>
    </row>
    <row r="50" spans="1:9" ht="16.5" thickTop="1" thickBot="1">
      <c r="A50" s="6">
        <v>225121</v>
      </c>
      <c r="B50" s="13" t="s">
        <v>732</v>
      </c>
      <c r="C50" s="6">
        <v>4039</v>
      </c>
      <c r="D50" s="6" t="s">
        <v>766</v>
      </c>
      <c r="E50" s="6" t="s">
        <v>23</v>
      </c>
      <c r="F50" s="6">
        <v>5</v>
      </c>
      <c r="G50" s="7" t="s">
        <v>1086</v>
      </c>
      <c r="H50" s="8" t="s">
        <v>1087</v>
      </c>
      <c r="I50" s="8" t="s">
        <v>1088</v>
      </c>
    </row>
    <row r="51" spans="1:9" ht="16.5" thickTop="1" thickBot="1">
      <c r="A51" s="6">
        <v>225122</v>
      </c>
      <c r="B51" s="13" t="s">
        <v>732</v>
      </c>
      <c r="C51" s="6">
        <v>4042</v>
      </c>
      <c r="D51" s="6" t="s">
        <v>767</v>
      </c>
      <c r="E51" s="6" t="s">
        <v>23</v>
      </c>
      <c r="F51" s="6">
        <v>3</v>
      </c>
      <c r="G51" s="7" t="s">
        <v>925</v>
      </c>
      <c r="H51" s="8" t="s">
        <v>942</v>
      </c>
      <c r="I51" s="8">
        <v>2371</v>
      </c>
    </row>
    <row r="52" spans="1:9" ht="16.5" thickTop="1" thickBot="1">
      <c r="A52" s="6">
        <v>225124</v>
      </c>
      <c r="B52" s="13" t="s">
        <v>732</v>
      </c>
      <c r="C52" s="6">
        <v>4047</v>
      </c>
      <c r="D52" s="6" t="s">
        <v>768</v>
      </c>
      <c r="E52" s="6" t="s">
        <v>23</v>
      </c>
      <c r="F52" s="6">
        <v>3</v>
      </c>
      <c r="G52" s="7" t="s">
        <v>943</v>
      </c>
      <c r="H52" s="8" t="s">
        <v>944</v>
      </c>
      <c r="I52" s="8">
        <v>2372</v>
      </c>
    </row>
    <row r="53" spans="1:9" ht="16.5" thickTop="1" thickBot="1">
      <c r="A53" s="6">
        <v>225126</v>
      </c>
      <c r="B53" s="13" t="s">
        <v>732</v>
      </c>
      <c r="C53" s="6">
        <v>4083</v>
      </c>
      <c r="D53" s="6" t="s">
        <v>769</v>
      </c>
      <c r="E53" s="6" t="s">
        <v>23</v>
      </c>
      <c r="F53" s="6">
        <v>5</v>
      </c>
      <c r="G53" s="7" t="s">
        <v>945</v>
      </c>
      <c r="H53" s="8" t="s">
        <v>946</v>
      </c>
      <c r="I53" s="8" t="s">
        <v>947</v>
      </c>
    </row>
    <row r="54" spans="1:9" ht="16.5" thickTop="1" thickBot="1">
      <c r="A54" s="6">
        <v>225129</v>
      </c>
      <c r="B54" s="13" t="s">
        <v>732</v>
      </c>
      <c r="C54" s="6">
        <v>4100</v>
      </c>
      <c r="D54" s="6" t="s">
        <v>770</v>
      </c>
      <c r="E54" s="6" t="s">
        <v>23</v>
      </c>
      <c r="F54" s="6">
        <v>3</v>
      </c>
      <c r="G54" s="7" t="s">
        <v>950</v>
      </c>
      <c r="H54" s="8" t="s">
        <v>948</v>
      </c>
      <c r="I54" s="8">
        <v>2375</v>
      </c>
    </row>
    <row r="55" spans="1:9" ht="16.5" thickTop="1" thickBot="1">
      <c r="A55" s="6">
        <v>225131</v>
      </c>
      <c r="B55" s="13" t="s">
        <v>732</v>
      </c>
      <c r="C55" s="6">
        <v>4118</v>
      </c>
      <c r="D55" s="6" t="s">
        <v>771</v>
      </c>
      <c r="E55" s="6" t="s">
        <v>23</v>
      </c>
      <c r="F55" s="6">
        <v>3</v>
      </c>
      <c r="G55" s="7" t="s">
        <v>949</v>
      </c>
      <c r="H55" s="8" t="s">
        <v>951</v>
      </c>
      <c r="I55" s="8">
        <v>2376</v>
      </c>
    </row>
    <row r="56" spans="1:9" ht="16.5" thickTop="1" thickBot="1">
      <c r="A56" s="6">
        <v>225134</v>
      </c>
      <c r="B56" s="13" t="s">
        <v>732</v>
      </c>
      <c r="C56" s="6">
        <v>4187</v>
      </c>
      <c r="D56" s="6" t="s">
        <v>772</v>
      </c>
      <c r="E56" s="6" t="s">
        <v>23</v>
      </c>
      <c r="F56" s="6">
        <v>5</v>
      </c>
      <c r="G56" s="7" t="s">
        <v>952</v>
      </c>
      <c r="H56" s="8" t="s">
        <v>953</v>
      </c>
      <c r="I56" s="8" t="s">
        <v>954</v>
      </c>
    </row>
    <row r="57" spans="1:9" ht="16.5" thickTop="1" thickBot="1">
      <c r="A57" s="6">
        <v>225137</v>
      </c>
      <c r="B57" s="13" t="s">
        <v>732</v>
      </c>
      <c r="C57" s="6">
        <v>4200</v>
      </c>
      <c r="D57" s="6" t="s">
        <v>773</v>
      </c>
      <c r="E57" s="6" t="s">
        <v>23</v>
      </c>
      <c r="F57" s="6">
        <v>3</v>
      </c>
      <c r="G57" s="7" t="s">
        <v>955</v>
      </c>
      <c r="H57" s="8" t="s">
        <v>956</v>
      </c>
      <c r="I57" s="8">
        <v>2379</v>
      </c>
    </row>
    <row r="58" spans="1:9" ht="16.5" thickTop="1" thickBot="1">
      <c r="A58" s="6">
        <v>225139</v>
      </c>
      <c r="B58" s="13" t="s">
        <v>732</v>
      </c>
      <c r="C58" s="6">
        <v>4238</v>
      </c>
      <c r="D58" s="6" t="s">
        <v>774</v>
      </c>
      <c r="E58" s="6" t="s">
        <v>23</v>
      </c>
      <c r="F58" s="6">
        <v>2</v>
      </c>
      <c r="G58" s="7" t="s">
        <v>957</v>
      </c>
      <c r="H58" s="8" t="s">
        <v>958</v>
      </c>
      <c r="I58" s="8">
        <v>2390</v>
      </c>
    </row>
    <row r="59" spans="1:9" ht="16.5" thickTop="1" thickBot="1">
      <c r="A59" s="6">
        <v>225141</v>
      </c>
      <c r="B59" s="13" t="s">
        <v>732</v>
      </c>
      <c r="C59" s="6">
        <v>4270</v>
      </c>
      <c r="D59" s="6" t="s">
        <v>775</v>
      </c>
      <c r="E59" s="6" t="s">
        <v>23</v>
      </c>
      <c r="F59" s="6">
        <v>2</v>
      </c>
      <c r="G59" s="7" t="s">
        <v>924</v>
      </c>
      <c r="H59" s="8" t="s">
        <v>959</v>
      </c>
      <c r="I59" s="8">
        <v>2381</v>
      </c>
    </row>
    <row r="60" spans="1:9" ht="16.5" thickTop="1" thickBot="1">
      <c r="A60" s="6">
        <v>225142</v>
      </c>
      <c r="B60" s="13" t="s">
        <v>732</v>
      </c>
      <c r="C60" s="6">
        <v>4275</v>
      </c>
      <c r="D60" s="6" t="s">
        <v>776</v>
      </c>
      <c r="E60" s="6" t="s">
        <v>23</v>
      </c>
      <c r="F60" s="6">
        <v>9</v>
      </c>
      <c r="G60" s="7" t="s">
        <v>960</v>
      </c>
      <c r="H60" s="8" t="s">
        <v>961</v>
      </c>
      <c r="I60" s="8" t="s">
        <v>962</v>
      </c>
    </row>
    <row r="61" spans="1:9" ht="16.5" thickTop="1" thickBot="1">
      <c r="A61" s="6">
        <v>225143</v>
      </c>
      <c r="B61" s="13" t="s">
        <v>732</v>
      </c>
      <c r="C61" s="6">
        <v>4284</v>
      </c>
      <c r="D61" s="6" t="s">
        <v>777</v>
      </c>
      <c r="E61" s="6" t="s">
        <v>23</v>
      </c>
      <c r="F61" s="6">
        <v>3</v>
      </c>
      <c r="G61" s="7" t="s">
        <v>963</v>
      </c>
      <c r="H61" s="8" t="s">
        <v>964</v>
      </c>
      <c r="I61" s="8">
        <v>2384</v>
      </c>
    </row>
    <row r="62" spans="1:9" ht="16.5" thickTop="1" thickBot="1">
      <c r="A62" s="6">
        <v>225145</v>
      </c>
      <c r="B62" s="13" t="s">
        <v>732</v>
      </c>
      <c r="C62" s="6">
        <v>4302</v>
      </c>
      <c r="D62" s="6" t="s">
        <v>778</v>
      </c>
      <c r="E62" s="6" t="s">
        <v>23</v>
      </c>
      <c r="F62" s="6">
        <v>4</v>
      </c>
      <c r="G62" s="7" t="s">
        <v>965</v>
      </c>
      <c r="H62" s="8" t="s">
        <v>966</v>
      </c>
      <c r="I62" s="8">
        <v>2400</v>
      </c>
    </row>
    <row r="63" spans="1:9" ht="16.5" thickTop="1" thickBot="1">
      <c r="A63" s="6">
        <v>225146</v>
      </c>
      <c r="B63" s="13" t="s">
        <v>732</v>
      </c>
      <c r="C63" s="6">
        <v>4334</v>
      </c>
      <c r="D63" s="6" t="s">
        <v>779</v>
      </c>
      <c r="E63" s="6" t="s">
        <v>23</v>
      </c>
      <c r="F63" s="6">
        <v>7</v>
      </c>
      <c r="G63" s="7" t="s">
        <v>967</v>
      </c>
      <c r="H63" s="8" t="s">
        <v>968</v>
      </c>
      <c r="I63" s="8" t="s">
        <v>969</v>
      </c>
    </row>
    <row r="64" spans="1:9" ht="16.5" thickTop="1" thickBot="1">
      <c r="A64" s="6">
        <v>225147</v>
      </c>
      <c r="B64" s="13" t="s">
        <v>732</v>
      </c>
      <c r="C64" s="6">
        <v>4353</v>
      </c>
      <c r="D64" s="6" t="s">
        <v>780</v>
      </c>
      <c r="E64" s="6" t="s">
        <v>23</v>
      </c>
      <c r="F64" s="6">
        <v>2</v>
      </c>
      <c r="G64" s="7" t="s">
        <v>1082</v>
      </c>
      <c r="H64" s="8" t="s">
        <v>1083</v>
      </c>
      <c r="I64" s="8">
        <v>2389</v>
      </c>
    </row>
    <row r="65" spans="1:9" ht="16.5" thickTop="1" thickBot="1">
      <c r="A65" s="6">
        <v>225148</v>
      </c>
      <c r="B65" s="13" t="s">
        <v>732</v>
      </c>
      <c r="C65" s="6">
        <v>4361</v>
      </c>
      <c r="D65" s="6" t="s">
        <v>781</v>
      </c>
      <c r="E65" s="6" t="s">
        <v>23</v>
      </c>
      <c r="F65" s="6">
        <v>2</v>
      </c>
      <c r="G65" s="7" t="s">
        <v>970</v>
      </c>
      <c r="H65" s="8" t="s">
        <v>971</v>
      </c>
      <c r="I65" s="8">
        <v>2391</v>
      </c>
    </row>
    <row r="66" spans="1:9" ht="16.5" thickTop="1" thickBot="1">
      <c r="A66" s="6">
        <v>225149</v>
      </c>
      <c r="B66" s="13" t="s">
        <v>732</v>
      </c>
      <c r="C66" s="6">
        <v>4377</v>
      </c>
      <c r="D66" s="6" t="s">
        <v>782</v>
      </c>
      <c r="E66" s="6" t="s">
        <v>23</v>
      </c>
      <c r="F66" s="6">
        <v>3</v>
      </c>
      <c r="G66" s="7" t="s">
        <v>972</v>
      </c>
      <c r="H66" s="8" t="s">
        <v>973</v>
      </c>
      <c r="I66" s="8">
        <v>2393</v>
      </c>
    </row>
    <row r="67" spans="1:9" ht="16.5" thickTop="1" thickBot="1">
      <c r="A67" s="6">
        <v>225156</v>
      </c>
      <c r="B67" s="13" t="s">
        <v>732</v>
      </c>
      <c r="C67" s="6">
        <v>4481</v>
      </c>
      <c r="D67" s="6" t="s">
        <v>783</v>
      </c>
      <c r="E67" s="6" t="s">
        <v>23</v>
      </c>
      <c r="F67" s="6">
        <v>5</v>
      </c>
      <c r="G67" s="7" t="s">
        <v>974</v>
      </c>
      <c r="H67" s="8" t="s">
        <v>975</v>
      </c>
      <c r="I67" s="8" t="s">
        <v>976</v>
      </c>
    </row>
    <row r="68" spans="1:9" ht="16.5" thickTop="1" thickBot="1">
      <c r="A68" s="6">
        <v>225157</v>
      </c>
      <c r="B68" s="13" t="s">
        <v>732</v>
      </c>
      <c r="C68" s="6">
        <v>4495</v>
      </c>
      <c r="D68" s="6" t="s">
        <v>784</v>
      </c>
      <c r="E68" s="6" t="s">
        <v>23</v>
      </c>
      <c r="F68" s="6">
        <v>4</v>
      </c>
      <c r="G68" s="7" t="s">
        <v>977</v>
      </c>
      <c r="H68" s="8" t="s">
        <v>978</v>
      </c>
      <c r="I68" s="8">
        <v>2395</v>
      </c>
    </row>
    <row r="69" spans="1:9" ht="16.5" thickTop="1" thickBot="1">
      <c r="A69" s="6">
        <v>224579</v>
      </c>
      <c r="B69" s="13" t="s">
        <v>732</v>
      </c>
      <c r="C69" s="6">
        <v>2404</v>
      </c>
      <c r="D69" s="6" t="s">
        <v>785</v>
      </c>
      <c r="E69" s="6" t="s">
        <v>23</v>
      </c>
      <c r="F69" s="6">
        <v>1</v>
      </c>
      <c r="G69" s="7" t="s">
        <v>979</v>
      </c>
      <c r="H69" s="8">
        <v>40780</v>
      </c>
      <c r="I69" s="8">
        <v>2397</v>
      </c>
    </row>
    <row r="70" spans="1:9" ht="16.5" thickTop="1" thickBot="1">
      <c r="A70" s="6">
        <v>225169</v>
      </c>
      <c r="B70" s="13" t="s">
        <v>732</v>
      </c>
      <c r="C70" s="6">
        <v>2173</v>
      </c>
      <c r="D70" s="6" t="s">
        <v>563</v>
      </c>
      <c r="E70" s="6" t="s">
        <v>10</v>
      </c>
      <c r="F70" s="6">
        <v>5</v>
      </c>
      <c r="G70" s="7" t="s">
        <v>980</v>
      </c>
      <c r="H70" s="8" t="s">
        <v>981</v>
      </c>
      <c r="I70" s="8">
        <v>2396</v>
      </c>
    </row>
    <row r="71" spans="1:9" ht="16.5" thickTop="1" thickBot="1">
      <c r="A71" s="6">
        <v>225184</v>
      </c>
      <c r="B71" s="13" t="s">
        <v>732</v>
      </c>
      <c r="C71" s="6">
        <v>2274</v>
      </c>
      <c r="D71" s="6" t="s">
        <v>786</v>
      </c>
      <c r="E71" s="6" t="s">
        <v>10</v>
      </c>
      <c r="F71" s="6">
        <v>3</v>
      </c>
      <c r="G71" s="7" t="s">
        <v>982</v>
      </c>
      <c r="H71" s="8" t="s">
        <v>983</v>
      </c>
      <c r="I71" s="8" t="s">
        <v>984</v>
      </c>
    </row>
    <row r="72" spans="1:9" ht="16.5" thickTop="1" thickBot="1">
      <c r="A72" s="6">
        <v>225199</v>
      </c>
      <c r="B72" s="13" t="s">
        <v>732</v>
      </c>
      <c r="C72" s="6">
        <v>4024</v>
      </c>
      <c r="D72" s="6" t="s">
        <v>313</v>
      </c>
      <c r="E72" s="6" t="s">
        <v>23</v>
      </c>
      <c r="F72" s="6">
        <v>1</v>
      </c>
      <c r="G72" s="7" t="s">
        <v>985</v>
      </c>
      <c r="H72" s="8">
        <v>40774</v>
      </c>
      <c r="I72" s="8">
        <v>2398</v>
      </c>
    </row>
    <row r="73" spans="1:9" ht="16.5" thickTop="1" thickBot="1">
      <c r="A73" s="6">
        <v>225204</v>
      </c>
      <c r="B73" s="13" t="s">
        <v>732</v>
      </c>
      <c r="C73" s="6">
        <v>4074</v>
      </c>
      <c r="D73" s="6" t="s">
        <v>624</v>
      </c>
      <c r="E73" s="6" t="s">
        <v>23</v>
      </c>
      <c r="F73" s="6">
        <v>2</v>
      </c>
      <c r="G73" s="7" t="s">
        <v>986</v>
      </c>
      <c r="H73" s="8" t="s">
        <v>987</v>
      </c>
      <c r="I73" s="8">
        <v>2399</v>
      </c>
    </row>
    <row r="74" spans="1:9" ht="16.5" thickTop="1" thickBot="1">
      <c r="A74" s="6">
        <v>225206</v>
      </c>
      <c r="B74" s="13" t="s">
        <v>732</v>
      </c>
      <c r="C74" s="6">
        <v>4116</v>
      </c>
      <c r="D74" s="6" t="s">
        <v>787</v>
      </c>
      <c r="E74" s="6" t="s">
        <v>23</v>
      </c>
      <c r="F74" s="6">
        <v>1</v>
      </c>
      <c r="G74" s="7" t="s">
        <v>988</v>
      </c>
      <c r="H74" s="8">
        <v>40771</v>
      </c>
      <c r="I74" s="8">
        <v>2401</v>
      </c>
    </row>
    <row r="75" spans="1:9" ht="16.5" thickTop="1" thickBot="1">
      <c r="A75" s="6">
        <v>225214</v>
      </c>
      <c r="B75" s="13" t="s">
        <v>732</v>
      </c>
      <c r="C75" s="6">
        <v>4180</v>
      </c>
      <c r="D75" s="6" t="s">
        <v>788</v>
      </c>
      <c r="E75" s="6" t="s">
        <v>23</v>
      </c>
      <c r="F75" s="6">
        <v>2</v>
      </c>
      <c r="G75" s="7" t="s">
        <v>989</v>
      </c>
      <c r="H75" s="8" t="s">
        <v>990</v>
      </c>
      <c r="I75" s="8">
        <v>2402</v>
      </c>
    </row>
    <row r="76" spans="1:9" ht="16.5" thickTop="1" thickBot="1">
      <c r="A76" s="6">
        <v>225236</v>
      </c>
      <c r="B76" s="13" t="s">
        <v>732</v>
      </c>
      <c r="C76" s="6">
        <v>4450</v>
      </c>
      <c r="D76" s="6" t="s">
        <v>69</v>
      </c>
      <c r="E76" s="6" t="s">
        <v>23</v>
      </c>
      <c r="F76" s="6">
        <v>2</v>
      </c>
      <c r="G76" s="7" t="s">
        <v>991</v>
      </c>
      <c r="H76" s="8" t="s">
        <v>992</v>
      </c>
      <c r="I76" s="8">
        <v>2403</v>
      </c>
    </row>
    <row r="77" spans="1:9" ht="16.5" thickTop="1" thickBot="1">
      <c r="A77" s="6">
        <v>225247</v>
      </c>
      <c r="B77" s="13" t="s">
        <v>732</v>
      </c>
      <c r="C77" s="6">
        <v>2083</v>
      </c>
      <c r="D77" s="6" t="s">
        <v>16</v>
      </c>
      <c r="E77" s="6" t="s">
        <v>23</v>
      </c>
      <c r="F77" s="6">
        <v>3</v>
      </c>
      <c r="G77" s="7" t="s">
        <v>993</v>
      </c>
      <c r="H77" s="8" t="s">
        <v>994</v>
      </c>
      <c r="I77" s="8">
        <v>2404</v>
      </c>
    </row>
    <row r="78" spans="1:9" ht="16.5" thickTop="1" thickBot="1">
      <c r="A78" s="6">
        <v>225252</v>
      </c>
      <c r="B78" s="13" t="s">
        <v>732</v>
      </c>
      <c r="C78" s="6">
        <v>2232</v>
      </c>
      <c r="D78" s="6" t="s">
        <v>789</v>
      </c>
      <c r="E78" s="6" t="s">
        <v>23</v>
      </c>
      <c r="F78" s="6">
        <v>1</v>
      </c>
      <c r="G78" s="7" t="s">
        <v>995</v>
      </c>
      <c r="H78" s="8">
        <v>40836</v>
      </c>
      <c r="I78" s="8">
        <v>2405</v>
      </c>
    </row>
    <row r="79" spans="1:9" ht="16.5" thickTop="1" thickBot="1">
      <c r="A79" s="6">
        <v>225256</v>
      </c>
      <c r="B79" s="13" t="s">
        <v>732</v>
      </c>
      <c r="C79" s="6">
        <v>2315</v>
      </c>
      <c r="D79" s="6" t="s">
        <v>790</v>
      </c>
      <c r="E79" s="6" t="s">
        <v>10</v>
      </c>
      <c r="F79" s="6">
        <v>4</v>
      </c>
      <c r="G79" s="7" t="s">
        <v>1080</v>
      </c>
      <c r="H79" s="8" t="s">
        <v>1081</v>
      </c>
      <c r="I79" s="8">
        <v>2406</v>
      </c>
    </row>
    <row r="80" spans="1:9" ht="16.5" thickTop="1" thickBot="1">
      <c r="A80" s="6">
        <v>225258</v>
      </c>
      <c r="B80" s="13" t="s">
        <v>732</v>
      </c>
      <c r="C80" s="6">
        <v>2452</v>
      </c>
      <c r="D80" s="6" t="s">
        <v>791</v>
      </c>
      <c r="E80" s="6" t="s">
        <v>23</v>
      </c>
      <c r="F80" s="6">
        <v>2</v>
      </c>
      <c r="G80" s="7" t="s">
        <v>996</v>
      </c>
      <c r="H80" s="8" t="s">
        <v>997</v>
      </c>
      <c r="I80" s="8">
        <v>2407</v>
      </c>
    </row>
    <row r="81" spans="1:9" ht="16.5" thickTop="1" thickBot="1">
      <c r="A81" s="6">
        <v>225158</v>
      </c>
      <c r="B81" s="13" t="s">
        <v>732</v>
      </c>
      <c r="C81" s="6">
        <v>2017</v>
      </c>
      <c r="D81" s="6" t="s">
        <v>792</v>
      </c>
      <c r="E81" s="6" t="s">
        <v>23</v>
      </c>
      <c r="F81" s="6">
        <v>3</v>
      </c>
      <c r="G81" s="7" t="s">
        <v>1084</v>
      </c>
      <c r="H81" s="8" t="s">
        <v>1085</v>
      </c>
      <c r="I81" s="8">
        <v>2410</v>
      </c>
    </row>
    <row r="82" spans="1:9" ht="16.5" thickTop="1" thickBot="1">
      <c r="A82" s="6">
        <v>225159</v>
      </c>
      <c r="B82" s="13" t="s">
        <v>732</v>
      </c>
      <c r="C82" s="6">
        <v>2037</v>
      </c>
      <c r="D82" s="6" t="s">
        <v>793</v>
      </c>
      <c r="E82" s="6" t="s">
        <v>23</v>
      </c>
      <c r="F82" s="6">
        <v>3</v>
      </c>
      <c r="G82" s="7" t="s">
        <v>1000</v>
      </c>
      <c r="H82" s="8" t="s">
        <v>1001</v>
      </c>
      <c r="I82" s="8">
        <v>2409</v>
      </c>
    </row>
    <row r="83" spans="1:9" ht="16.5" thickTop="1" thickBot="1">
      <c r="A83" s="6">
        <v>225160</v>
      </c>
      <c r="B83" s="13" t="s">
        <v>732</v>
      </c>
      <c r="C83" s="6">
        <v>2066</v>
      </c>
      <c r="D83" s="6" t="s">
        <v>575</v>
      </c>
      <c r="E83" s="6" t="s">
        <v>23</v>
      </c>
      <c r="F83" s="6">
        <v>4</v>
      </c>
      <c r="G83" s="7" t="s">
        <v>998</v>
      </c>
      <c r="H83" s="8" t="s">
        <v>999</v>
      </c>
      <c r="I83" s="8">
        <v>2408</v>
      </c>
    </row>
    <row r="84" spans="1:9" ht="16.5" thickTop="1" thickBot="1">
      <c r="A84" s="6">
        <v>225164</v>
      </c>
      <c r="B84" s="13" t="s">
        <v>732</v>
      </c>
      <c r="C84" s="6">
        <v>2119</v>
      </c>
      <c r="D84" s="6" t="s">
        <v>794</v>
      </c>
      <c r="E84" s="6" t="s">
        <v>23</v>
      </c>
      <c r="F84" s="6">
        <v>11</v>
      </c>
      <c r="G84" s="7" t="s">
        <v>1002</v>
      </c>
      <c r="H84" s="8" t="s">
        <v>1003</v>
      </c>
      <c r="I84" s="8" t="s">
        <v>1004</v>
      </c>
    </row>
    <row r="85" spans="1:9" ht="16.5" thickTop="1" thickBot="1">
      <c r="A85" s="6">
        <v>225165</v>
      </c>
      <c r="B85" s="13" t="s">
        <v>732</v>
      </c>
      <c r="C85" s="6">
        <v>2132</v>
      </c>
      <c r="D85" s="6" t="s">
        <v>795</v>
      </c>
      <c r="E85" s="6" t="s">
        <v>23</v>
      </c>
      <c r="F85" s="6">
        <v>4</v>
      </c>
      <c r="G85" s="7" t="s">
        <v>839</v>
      </c>
      <c r="H85" s="8" t="s">
        <v>1089</v>
      </c>
      <c r="I85" s="8">
        <v>2414</v>
      </c>
    </row>
    <row r="86" spans="1:9" ht="16.5" thickTop="1" thickBot="1">
      <c r="A86" s="6">
        <v>225166</v>
      </c>
      <c r="B86" s="13" t="s">
        <v>732</v>
      </c>
      <c r="C86" s="6">
        <v>2134</v>
      </c>
      <c r="D86" s="6" t="s">
        <v>796</v>
      </c>
      <c r="E86" s="6" t="s">
        <v>23</v>
      </c>
      <c r="F86" s="6">
        <v>3</v>
      </c>
      <c r="G86" s="7" t="s">
        <v>1005</v>
      </c>
      <c r="H86" s="8" t="s">
        <v>1006</v>
      </c>
      <c r="I86" s="8">
        <v>2415</v>
      </c>
    </row>
    <row r="87" spans="1:9" ht="16.5" thickTop="1" thickBot="1">
      <c r="A87" s="6">
        <v>225170</v>
      </c>
      <c r="B87" s="13" t="s">
        <v>732</v>
      </c>
      <c r="C87" s="6">
        <v>2174</v>
      </c>
      <c r="D87" s="6" t="s">
        <v>797</v>
      </c>
      <c r="E87" s="6" t="s">
        <v>23</v>
      </c>
      <c r="F87" s="6">
        <v>1</v>
      </c>
      <c r="G87" s="7" t="s">
        <v>843</v>
      </c>
      <c r="H87" s="8">
        <v>40947</v>
      </c>
      <c r="I87" s="8">
        <v>2416</v>
      </c>
    </row>
    <row r="88" spans="1:9" ht="16.5" thickTop="1" thickBot="1">
      <c r="A88" s="6">
        <v>225171</v>
      </c>
      <c r="B88" s="13" t="s">
        <v>732</v>
      </c>
      <c r="C88" s="6">
        <v>2178</v>
      </c>
      <c r="D88" s="6" t="s">
        <v>798</v>
      </c>
      <c r="E88" s="6" t="s">
        <v>23</v>
      </c>
      <c r="F88" s="6">
        <v>2</v>
      </c>
      <c r="G88" s="7" t="s">
        <v>1007</v>
      </c>
      <c r="H88" s="8" t="s">
        <v>1008</v>
      </c>
      <c r="I88" s="8">
        <v>2417</v>
      </c>
    </row>
    <row r="89" spans="1:9" ht="16.5" thickTop="1" thickBot="1">
      <c r="A89" s="6">
        <v>225172</v>
      </c>
      <c r="B89" s="13" t="s">
        <v>732</v>
      </c>
      <c r="C89" s="6">
        <v>2184</v>
      </c>
      <c r="D89" s="6" t="s">
        <v>799</v>
      </c>
      <c r="E89" s="6" t="s">
        <v>23</v>
      </c>
      <c r="F89" s="6">
        <v>3</v>
      </c>
      <c r="G89" s="7" t="s">
        <v>1009</v>
      </c>
      <c r="H89" s="8" t="s">
        <v>1010</v>
      </c>
      <c r="I89" s="8">
        <v>2436</v>
      </c>
    </row>
    <row r="90" spans="1:9" ht="16.5" thickTop="1" thickBot="1">
      <c r="A90" s="6">
        <v>225173</v>
      </c>
      <c r="B90" s="13" t="s">
        <v>732</v>
      </c>
      <c r="C90" s="6">
        <v>2209</v>
      </c>
      <c r="D90" s="6" t="s">
        <v>800</v>
      </c>
      <c r="E90" s="6" t="s">
        <v>23</v>
      </c>
      <c r="F90" s="6">
        <v>2</v>
      </c>
      <c r="G90" s="7" t="s">
        <v>1011</v>
      </c>
      <c r="H90" s="8" t="s">
        <v>1013</v>
      </c>
      <c r="I90" s="8">
        <v>2419</v>
      </c>
    </row>
    <row r="91" spans="1:9" ht="16.5" thickTop="1" thickBot="1">
      <c r="A91" s="6">
        <v>225178</v>
      </c>
      <c r="B91" s="13" t="s">
        <v>732</v>
      </c>
      <c r="C91" s="6">
        <v>2241</v>
      </c>
      <c r="D91" s="6" t="s">
        <v>560</v>
      </c>
      <c r="E91" s="6" t="s">
        <v>23</v>
      </c>
      <c r="F91" s="6">
        <v>4</v>
      </c>
      <c r="G91" s="7" t="s">
        <v>852</v>
      </c>
      <c r="H91" s="8" t="s">
        <v>1014</v>
      </c>
      <c r="I91" s="8">
        <v>2420</v>
      </c>
    </row>
    <row r="92" spans="1:9" ht="16.5" thickTop="1" thickBot="1">
      <c r="A92" s="6">
        <v>225179</v>
      </c>
      <c r="B92" s="13" t="s">
        <v>732</v>
      </c>
      <c r="C92" s="6">
        <v>2243</v>
      </c>
      <c r="D92" s="6" t="s">
        <v>801</v>
      </c>
      <c r="E92" s="6" t="s">
        <v>23</v>
      </c>
      <c r="F92" s="6">
        <v>2</v>
      </c>
      <c r="G92" s="7" t="s">
        <v>1012</v>
      </c>
      <c r="H92" s="8" t="s">
        <v>1015</v>
      </c>
      <c r="I92" s="8">
        <v>2421</v>
      </c>
    </row>
    <row r="93" spans="1:9" ht="16.5" thickTop="1" thickBot="1">
      <c r="A93" s="6">
        <v>225182</v>
      </c>
      <c r="B93" s="13" t="s">
        <v>732</v>
      </c>
      <c r="C93" s="6">
        <v>2257</v>
      </c>
      <c r="D93" s="6" t="s">
        <v>802</v>
      </c>
      <c r="E93" s="6" t="s">
        <v>23</v>
      </c>
      <c r="F93" s="6">
        <v>2</v>
      </c>
      <c r="G93" s="7" t="s">
        <v>1016</v>
      </c>
      <c r="H93" s="8" t="s">
        <v>1017</v>
      </c>
      <c r="I93" s="8">
        <v>2422</v>
      </c>
    </row>
    <row r="94" spans="1:9" ht="16.5" thickTop="1" thickBot="1">
      <c r="A94" s="6">
        <v>225189</v>
      </c>
      <c r="B94" s="13" t="s">
        <v>732</v>
      </c>
      <c r="C94" s="6">
        <v>2372</v>
      </c>
      <c r="D94" s="6" t="s">
        <v>402</v>
      </c>
      <c r="E94" s="6" t="s">
        <v>23</v>
      </c>
      <c r="F94" s="6">
        <v>3</v>
      </c>
      <c r="G94" s="7" t="s">
        <v>1018</v>
      </c>
      <c r="H94" s="8" t="s">
        <v>1019</v>
      </c>
      <c r="I94" s="8">
        <v>2424</v>
      </c>
    </row>
    <row r="95" spans="1:9" ht="16.5" thickTop="1" thickBot="1">
      <c r="A95" s="6">
        <v>225196</v>
      </c>
      <c r="B95" s="13" t="s">
        <v>732</v>
      </c>
      <c r="C95" s="6">
        <v>2433</v>
      </c>
      <c r="D95" s="6" t="s">
        <v>178</v>
      </c>
      <c r="E95" s="6" t="s">
        <v>23</v>
      </c>
      <c r="F95" s="6">
        <v>3</v>
      </c>
      <c r="G95" s="7" t="s">
        <v>1020</v>
      </c>
      <c r="H95" s="8" t="s">
        <v>1021</v>
      </c>
      <c r="I95" s="8">
        <v>2426</v>
      </c>
    </row>
    <row r="96" spans="1:9" ht="16.5" thickTop="1" thickBot="1">
      <c r="A96" s="6">
        <v>225197</v>
      </c>
      <c r="B96" s="13" t="s">
        <v>732</v>
      </c>
      <c r="C96" s="6">
        <v>4009</v>
      </c>
      <c r="D96" s="6" t="s">
        <v>803</v>
      </c>
      <c r="E96" s="6" t="s">
        <v>23</v>
      </c>
      <c r="F96" s="6">
        <v>2</v>
      </c>
      <c r="G96" s="7" t="s">
        <v>857</v>
      </c>
      <c r="H96" s="8" t="s">
        <v>1022</v>
      </c>
      <c r="I96" s="8">
        <v>2427</v>
      </c>
    </row>
    <row r="97" spans="1:9" ht="16.5" thickTop="1" thickBot="1">
      <c r="A97" s="6">
        <v>225198</v>
      </c>
      <c r="B97" s="13" t="s">
        <v>732</v>
      </c>
      <c r="C97" s="6">
        <v>4012</v>
      </c>
      <c r="D97" s="6" t="s">
        <v>804</v>
      </c>
      <c r="E97" s="6" t="s">
        <v>23</v>
      </c>
      <c r="F97" s="6">
        <v>3</v>
      </c>
      <c r="G97" s="7" t="s">
        <v>1023</v>
      </c>
      <c r="H97" s="8" t="s">
        <v>1024</v>
      </c>
      <c r="I97" s="8">
        <v>2428</v>
      </c>
    </row>
    <row r="98" spans="1:9" ht="16.5" thickTop="1" thickBot="1">
      <c r="A98" s="6">
        <v>225200</v>
      </c>
      <c r="B98" s="13" t="s">
        <v>732</v>
      </c>
      <c r="C98" s="6">
        <v>4030</v>
      </c>
      <c r="D98" s="6" t="s">
        <v>805</v>
      </c>
      <c r="E98" s="6" t="s">
        <v>23</v>
      </c>
      <c r="F98" s="6">
        <v>4</v>
      </c>
      <c r="G98" s="7" t="s">
        <v>1025</v>
      </c>
      <c r="H98" s="8" t="s">
        <v>1026</v>
      </c>
      <c r="I98" s="8">
        <v>2440</v>
      </c>
    </row>
    <row r="99" spans="1:9" ht="16.5" thickTop="1" thickBot="1">
      <c r="A99" s="6">
        <v>225202</v>
      </c>
      <c r="B99" s="13" t="s">
        <v>732</v>
      </c>
      <c r="C99" s="6">
        <v>4064</v>
      </c>
      <c r="D99" s="6" t="s">
        <v>417</v>
      </c>
      <c r="E99" s="6" t="s">
        <v>23</v>
      </c>
      <c r="F99" s="6">
        <v>2</v>
      </c>
      <c r="G99" s="7" t="s">
        <v>1027</v>
      </c>
      <c r="H99" s="8" t="s">
        <v>1028</v>
      </c>
      <c r="I99" s="8">
        <v>2429</v>
      </c>
    </row>
    <row r="100" spans="1:9" ht="16.5" thickTop="1" thickBot="1">
      <c r="A100" s="6">
        <v>225207</v>
      </c>
      <c r="B100" s="13" t="s">
        <v>732</v>
      </c>
      <c r="C100" s="6">
        <v>4121</v>
      </c>
      <c r="D100" s="6" t="s">
        <v>806</v>
      </c>
      <c r="E100" s="6" t="s">
        <v>23</v>
      </c>
      <c r="F100" s="6">
        <v>3</v>
      </c>
      <c r="G100" s="7" t="s">
        <v>1029</v>
      </c>
      <c r="H100" s="8" t="s">
        <v>1030</v>
      </c>
      <c r="I100" s="8">
        <v>2430</v>
      </c>
    </row>
    <row r="101" spans="1:9" ht="16.5" thickTop="1" thickBot="1">
      <c r="A101" s="6">
        <v>225209</v>
      </c>
      <c r="B101" s="13" t="s">
        <v>732</v>
      </c>
      <c r="C101" s="6">
        <v>4136</v>
      </c>
      <c r="D101" s="6" t="s">
        <v>807</v>
      </c>
      <c r="E101" s="6" t="s">
        <v>23</v>
      </c>
      <c r="F101" s="6">
        <v>2</v>
      </c>
      <c r="G101" s="7" t="s">
        <v>1031</v>
      </c>
      <c r="H101" s="8" t="s">
        <v>1032</v>
      </c>
      <c r="I101" s="8">
        <v>2431</v>
      </c>
    </row>
    <row r="102" spans="1:9" ht="16.5" thickTop="1" thickBot="1">
      <c r="A102" s="6">
        <v>225212</v>
      </c>
      <c r="B102" s="13" t="s">
        <v>732</v>
      </c>
      <c r="C102" s="6">
        <v>4164</v>
      </c>
      <c r="D102" s="6" t="s">
        <v>808</v>
      </c>
      <c r="E102" s="6" t="s">
        <v>23</v>
      </c>
      <c r="F102" s="6">
        <v>4</v>
      </c>
      <c r="G102" s="7" t="s">
        <v>1033</v>
      </c>
      <c r="H102" s="8" t="s">
        <v>1034</v>
      </c>
      <c r="I102" s="8">
        <v>2432</v>
      </c>
    </row>
    <row r="103" spans="1:9" ht="16.5" thickTop="1" thickBot="1">
      <c r="A103" s="6">
        <v>225216</v>
      </c>
      <c r="B103" s="13" t="s">
        <v>732</v>
      </c>
      <c r="C103" s="6">
        <v>4197</v>
      </c>
      <c r="D103" s="6" t="s">
        <v>809</v>
      </c>
      <c r="E103" s="6" t="s">
        <v>23</v>
      </c>
      <c r="F103" s="6">
        <v>3</v>
      </c>
      <c r="G103" s="7" t="s">
        <v>1035</v>
      </c>
      <c r="H103" s="8" t="s">
        <v>1036</v>
      </c>
      <c r="I103" s="8">
        <v>2434</v>
      </c>
    </row>
    <row r="104" spans="1:9" ht="16.5" thickTop="1" thickBot="1">
      <c r="A104" s="6">
        <v>225218</v>
      </c>
      <c r="B104" s="13" t="s">
        <v>732</v>
      </c>
      <c r="C104" s="6">
        <v>4207</v>
      </c>
      <c r="D104" s="6" t="s">
        <v>810</v>
      </c>
      <c r="E104" s="6" t="s">
        <v>23</v>
      </c>
      <c r="F104" s="6">
        <v>2</v>
      </c>
      <c r="G104" s="7" t="s">
        <v>1037</v>
      </c>
      <c r="H104" s="8" t="s">
        <v>1038</v>
      </c>
      <c r="I104" s="8">
        <v>2435</v>
      </c>
    </row>
    <row r="105" spans="1:9" ht="16.5" thickTop="1" thickBot="1">
      <c r="A105" s="6">
        <v>225219</v>
      </c>
      <c r="B105" s="13" t="s">
        <v>732</v>
      </c>
      <c r="C105" s="6">
        <v>4209</v>
      </c>
      <c r="D105" s="6" t="s">
        <v>811</v>
      </c>
      <c r="E105" s="6" t="s">
        <v>23</v>
      </c>
      <c r="F105" s="6">
        <v>4</v>
      </c>
      <c r="G105" s="7" t="s">
        <v>1039</v>
      </c>
      <c r="H105" s="8" t="s">
        <v>1040</v>
      </c>
      <c r="I105" s="8">
        <v>2438</v>
      </c>
    </row>
    <row r="106" spans="1:9" ht="16.5" thickTop="1" thickBot="1">
      <c r="A106" s="6">
        <v>225223</v>
      </c>
      <c r="B106" s="13" t="s">
        <v>732</v>
      </c>
      <c r="C106" s="6">
        <v>4292</v>
      </c>
      <c r="D106" s="6" t="s">
        <v>812</v>
      </c>
      <c r="E106" s="6" t="s">
        <v>23</v>
      </c>
      <c r="F106" s="6">
        <v>4</v>
      </c>
      <c r="G106" s="7" t="s">
        <v>1041</v>
      </c>
      <c r="H106" s="8" t="s">
        <v>1042</v>
      </c>
      <c r="I106" s="8">
        <v>2437</v>
      </c>
    </row>
    <row r="107" spans="1:9" ht="16.5" thickTop="1" thickBot="1">
      <c r="A107" s="6">
        <v>225224</v>
      </c>
      <c r="B107" s="13" t="s">
        <v>732</v>
      </c>
      <c r="C107" s="6">
        <v>4295</v>
      </c>
      <c r="D107" s="6" t="s">
        <v>813</v>
      </c>
      <c r="E107" s="6" t="s">
        <v>23</v>
      </c>
      <c r="F107" s="6">
        <v>4</v>
      </c>
      <c r="G107" s="7" t="s">
        <v>1043</v>
      </c>
      <c r="H107" s="8" t="s">
        <v>1044</v>
      </c>
      <c r="I107" s="8">
        <v>2442</v>
      </c>
    </row>
    <row r="108" spans="1:9" ht="16.5" thickTop="1" thickBot="1">
      <c r="A108" s="6">
        <v>225227</v>
      </c>
      <c r="B108" s="13" t="s">
        <v>732</v>
      </c>
      <c r="C108" s="6">
        <v>4339</v>
      </c>
      <c r="D108" s="6" t="s">
        <v>814</v>
      </c>
      <c r="E108" s="6" t="s">
        <v>23</v>
      </c>
      <c r="F108" s="6">
        <v>2</v>
      </c>
      <c r="G108" s="7" t="s">
        <v>1045</v>
      </c>
      <c r="H108" s="8" t="s">
        <v>1046</v>
      </c>
      <c r="I108" s="8">
        <v>2439</v>
      </c>
    </row>
    <row r="109" spans="1:9" ht="16.5" thickTop="1" thickBot="1">
      <c r="A109" s="6">
        <v>225228</v>
      </c>
      <c r="B109" s="13" t="s">
        <v>732</v>
      </c>
      <c r="C109" s="6">
        <v>4349</v>
      </c>
      <c r="D109" s="6" t="s">
        <v>815</v>
      </c>
      <c r="E109" s="6" t="s">
        <v>23</v>
      </c>
      <c r="F109" s="6">
        <v>2</v>
      </c>
      <c r="G109" s="7" t="s">
        <v>1047</v>
      </c>
      <c r="H109" s="8" t="s">
        <v>1048</v>
      </c>
      <c r="I109" s="8">
        <v>2445</v>
      </c>
    </row>
    <row r="110" spans="1:9" ht="16.5" thickTop="1" thickBot="1">
      <c r="A110" s="6">
        <v>225232</v>
      </c>
      <c r="B110" s="13" t="s">
        <v>732</v>
      </c>
      <c r="C110" s="6">
        <v>4383</v>
      </c>
      <c r="D110" s="6" t="s">
        <v>816</v>
      </c>
      <c r="E110" s="6" t="s">
        <v>23</v>
      </c>
      <c r="F110" s="6">
        <v>4</v>
      </c>
      <c r="G110" s="7" t="s">
        <v>1049</v>
      </c>
      <c r="H110" s="8" t="s">
        <v>1050</v>
      </c>
      <c r="I110" s="8">
        <v>2447</v>
      </c>
    </row>
    <row r="111" spans="1:9" ht="16.5" thickTop="1" thickBot="1">
      <c r="A111" s="6">
        <v>225234</v>
      </c>
      <c r="B111" s="13" t="s">
        <v>732</v>
      </c>
      <c r="C111" s="6">
        <v>4427</v>
      </c>
      <c r="D111" s="6" t="s">
        <v>817</v>
      </c>
      <c r="E111" s="6" t="s">
        <v>23</v>
      </c>
      <c r="F111" s="6">
        <v>3</v>
      </c>
      <c r="G111" s="7" t="s">
        <v>1051</v>
      </c>
      <c r="H111" s="8" t="s">
        <v>1053</v>
      </c>
      <c r="I111" s="8">
        <v>2441</v>
      </c>
    </row>
    <row r="112" spans="1:9" ht="16.5" thickTop="1" thickBot="1">
      <c r="A112" s="6">
        <v>225237</v>
      </c>
      <c r="B112" s="13" t="s">
        <v>732</v>
      </c>
      <c r="C112" s="6">
        <v>4460</v>
      </c>
      <c r="D112" s="6" t="s">
        <v>818</v>
      </c>
      <c r="E112" s="6" t="s">
        <v>23</v>
      </c>
      <c r="F112" s="6">
        <v>3</v>
      </c>
      <c r="G112" s="7" t="s">
        <v>1052</v>
      </c>
      <c r="H112" s="8" t="s">
        <v>1054</v>
      </c>
      <c r="I112" s="8">
        <v>2446</v>
      </c>
    </row>
    <row r="113" spans="1:9" ht="16.5" thickTop="1" thickBot="1">
      <c r="A113" s="6">
        <v>225238</v>
      </c>
      <c r="B113" s="13" t="s">
        <v>732</v>
      </c>
      <c r="C113" s="6">
        <v>4464</v>
      </c>
      <c r="D113" s="6" t="s">
        <v>480</v>
      </c>
      <c r="E113" s="6" t="s">
        <v>23</v>
      </c>
      <c r="F113" s="6">
        <v>3</v>
      </c>
      <c r="G113" s="7" t="s">
        <v>1055</v>
      </c>
      <c r="H113" s="8" t="s">
        <v>1056</v>
      </c>
      <c r="I113" s="8">
        <v>2444</v>
      </c>
    </row>
    <row r="114" spans="1:9" ht="16.5" thickTop="1" thickBot="1">
      <c r="A114" s="6">
        <v>225240</v>
      </c>
      <c r="B114" s="13" t="s">
        <v>732</v>
      </c>
      <c r="C114" s="6">
        <v>4477</v>
      </c>
      <c r="D114" s="6" t="s">
        <v>819</v>
      </c>
      <c r="E114" s="6" t="s">
        <v>23</v>
      </c>
      <c r="F114" s="6">
        <v>12</v>
      </c>
      <c r="G114" s="7" t="s">
        <v>1057</v>
      </c>
      <c r="H114" s="8" t="s">
        <v>1058</v>
      </c>
      <c r="I114" s="8" t="s">
        <v>1059</v>
      </c>
    </row>
    <row r="115" spans="1:9" ht="16.5" thickTop="1" thickBot="1">
      <c r="A115" s="6">
        <v>225245</v>
      </c>
      <c r="B115" s="13" t="s">
        <v>732</v>
      </c>
      <c r="C115" s="6">
        <v>4497</v>
      </c>
      <c r="D115" s="6" t="s">
        <v>820</v>
      </c>
      <c r="E115" s="6" t="s">
        <v>23</v>
      </c>
      <c r="F115" s="6">
        <v>2</v>
      </c>
      <c r="G115" s="7" t="s">
        <v>1060</v>
      </c>
      <c r="H115" s="8" t="s">
        <v>1061</v>
      </c>
      <c r="I115" s="8">
        <v>4443</v>
      </c>
    </row>
    <row r="116" spans="1:9" ht="16.5" thickTop="1" thickBot="1">
      <c r="A116" s="6">
        <v>225248</v>
      </c>
      <c r="B116" s="13" t="s">
        <v>732</v>
      </c>
      <c r="C116" s="6">
        <v>2090</v>
      </c>
      <c r="D116" s="6" t="s">
        <v>821</v>
      </c>
      <c r="E116" s="6" t="s">
        <v>23</v>
      </c>
      <c r="F116" s="6">
        <v>3</v>
      </c>
      <c r="G116" s="7" t="s">
        <v>1062</v>
      </c>
      <c r="H116" s="8" t="s">
        <v>1064</v>
      </c>
      <c r="I116" s="8">
        <v>4444</v>
      </c>
    </row>
    <row r="117" spans="1:9" ht="16.5" thickTop="1" thickBot="1">
      <c r="A117" s="6">
        <v>225257</v>
      </c>
      <c r="B117" s="13" t="s">
        <v>732</v>
      </c>
      <c r="C117" s="6">
        <v>2382</v>
      </c>
      <c r="D117" s="6" t="s">
        <v>822</v>
      </c>
      <c r="E117" s="6" t="s">
        <v>23</v>
      </c>
      <c r="F117" s="6">
        <v>4</v>
      </c>
      <c r="G117" s="7" t="s">
        <v>1065</v>
      </c>
      <c r="H117" s="8" t="s">
        <v>1066</v>
      </c>
      <c r="I117" s="8">
        <v>4446</v>
      </c>
    </row>
    <row r="118" spans="1:9" ht="16.5" thickTop="1" thickBot="1">
      <c r="A118" s="6">
        <v>225263</v>
      </c>
      <c r="B118" s="13" t="s">
        <v>732</v>
      </c>
      <c r="C118" s="6">
        <v>4109</v>
      </c>
      <c r="D118" s="6" t="s">
        <v>428</v>
      </c>
      <c r="E118" s="6" t="s">
        <v>23</v>
      </c>
      <c r="F118" s="6">
        <v>3</v>
      </c>
      <c r="G118" s="7" t="s">
        <v>1067</v>
      </c>
      <c r="H118" s="8" t="s">
        <v>1068</v>
      </c>
      <c r="I118" s="8">
        <v>4447</v>
      </c>
    </row>
    <row r="119" spans="1:9" ht="16.5" thickTop="1" thickBot="1">
      <c r="A119" s="6">
        <v>225266</v>
      </c>
      <c r="B119" s="13" t="s">
        <v>732</v>
      </c>
      <c r="C119" s="6">
        <v>4204</v>
      </c>
      <c r="D119" s="6" t="s">
        <v>823</v>
      </c>
      <c r="E119" s="6" t="s">
        <v>23</v>
      </c>
      <c r="F119" s="6">
        <v>2</v>
      </c>
      <c r="G119" s="7" t="s">
        <v>1063</v>
      </c>
      <c r="H119" s="8" t="s">
        <v>1069</v>
      </c>
      <c r="I119" s="8">
        <v>4448</v>
      </c>
    </row>
    <row r="120" spans="1:9" ht="16.5" thickTop="1" thickBot="1">
      <c r="A120" s="6">
        <v>225269</v>
      </c>
      <c r="B120" s="13" t="s">
        <v>732</v>
      </c>
      <c r="C120" s="6">
        <v>4254</v>
      </c>
      <c r="D120" s="6" t="s">
        <v>824</v>
      </c>
      <c r="E120" s="6" t="s">
        <v>23</v>
      </c>
      <c r="F120" s="6">
        <v>4</v>
      </c>
      <c r="G120" s="7" t="s">
        <v>1070</v>
      </c>
      <c r="H120" s="8" t="s">
        <v>1071</v>
      </c>
      <c r="I120" s="8">
        <v>4449</v>
      </c>
    </row>
    <row r="121" spans="1:9" ht="16.5" thickTop="1" thickBot="1">
      <c r="A121" s="6">
        <v>225273</v>
      </c>
      <c r="B121" s="13" t="s">
        <v>732</v>
      </c>
      <c r="C121" s="6">
        <v>4362</v>
      </c>
      <c r="D121" s="6" t="s">
        <v>825</v>
      </c>
      <c r="E121" s="6" t="s">
        <v>23</v>
      </c>
      <c r="F121" s="6">
        <v>2</v>
      </c>
      <c r="G121" s="7" t="s">
        <v>1074</v>
      </c>
      <c r="H121" s="8" t="s">
        <v>1075</v>
      </c>
      <c r="I121" s="8">
        <v>4453</v>
      </c>
    </row>
    <row r="122" spans="1:9" ht="16.5" thickTop="1" thickBot="1">
      <c r="A122" s="6">
        <v>225277</v>
      </c>
      <c r="B122" s="13" t="s">
        <v>732</v>
      </c>
      <c r="C122" s="6">
        <v>4384</v>
      </c>
      <c r="D122" s="6" t="s">
        <v>826</v>
      </c>
      <c r="E122" s="6" t="s">
        <v>23</v>
      </c>
      <c r="F122" s="6">
        <v>2</v>
      </c>
      <c r="G122" s="7" t="s">
        <v>1076</v>
      </c>
      <c r="H122" s="8" t="s">
        <v>1077</v>
      </c>
      <c r="I122" s="8">
        <v>4452</v>
      </c>
    </row>
    <row r="123" spans="1:9" ht="16.5" thickTop="1" thickBot="1">
      <c r="A123" s="6">
        <v>225278</v>
      </c>
      <c r="B123" s="13" t="s">
        <v>732</v>
      </c>
      <c r="C123" s="6">
        <v>4402</v>
      </c>
      <c r="D123" s="6" t="s">
        <v>271</v>
      </c>
      <c r="E123" s="6" t="s">
        <v>23</v>
      </c>
      <c r="F123" s="6">
        <v>2</v>
      </c>
      <c r="G123" s="7" t="s">
        <v>1078</v>
      </c>
      <c r="H123" s="8" t="s">
        <v>1079</v>
      </c>
      <c r="I123" s="8">
        <v>4450</v>
      </c>
    </row>
    <row r="124" spans="1:9" ht="16.5" thickTop="1" thickBot="1">
      <c r="A124" s="6">
        <v>225279</v>
      </c>
      <c r="B124" s="13" t="s">
        <v>732</v>
      </c>
      <c r="C124" s="6">
        <v>4416</v>
      </c>
      <c r="D124" s="6" t="s">
        <v>827</v>
      </c>
      <c r="E124" s="6" t="s">
        <v>23</v>
      </c>
      <c r="F124" s="6">
        <v>2</v>
      </c>
      <c r="G124" s="7" t="s">
        <v>1072</v>
      </c>
      <c r="H124" s="8" t="s">
        <v>1073</v>
      </c>
      <c r="I124" s="8">
        <v>4451</v>
      </c>
    </row>
    <row r="125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I5"/>
  <sheetViews>
    <sheetView showGridLines="0" workbookViewId="0">
      <pane ySplit="1" topLeftCell="A2" activePane="bottomLeft" state="frozen"/>
      <selection pane="bottomLeft" activeCell="G9" sqref="G9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52.125" customWidth="1"/>
    <col min="8" max="8" width="77.875" style="5" customWidth="1"/>
    <col min="9" max="9" width="16.125" customWidth="1"/>
    <col min="11" max="11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225292</v>
      </c>
      <c r="B2" s="13" t="s">
        <v>1090</v>
      </c>
      <c r="C2" s="6">
        <v>2126</v>
      </c>
      <c r="D2" s="6" t="s">
        <v>1091</v>
      </c>
      <c r="E2" s="6" t="s">
        <v>23</v>
      </c>
      <c r="F2" s="6">
        <v>3</v>
      </c>
      <c r="G2" s="7" t="s">
        <v>1094</v>
      </c>
      <c r="H2" s="8" t="s">
        <v>1095</v>
      </c>
      <c r="I2" s="8">
        <v>2320</v>
      </c>
    </row>
    <row r="3" spans="1:9" ht="16.5" thickTop="1" thickBot="1">
      <c r="A3" s="6">
        <v>225308</v>
      </c>
      <c r="B3" s="13" t="s">
        <v>1090</v>
      </c>
      <c r="C3" s="6">
        <v>2339</v>
      </c>
      <c r="D3" s="6" t="s">
        <v>1092</v>
      </c>
      <c r="E3" s="6" t="s">
        <v>23</v>
      </c>
      <c r="F3" s="6">
        <v>2</v>
      </c>
      <c r="G3" s="7" t="s">
        <v>1096</v>
      </c>
      <c r="H3" s="8" t="s">
        <v>1097</v>
      </c>
      <c r="I3" s="8">
        <v>2322</v>
      </c>
    </row>
    <row r="4" spans="1:9" ht="16.5" thickTop="1" thickBot="1">
      <c r="A4" s="6">
        <v>225321</v>
      </c>
      <c r="B4" s="13" t="s">
        <v>1090</v>
      </c>
      <c r="C4" s="6">
        <v>4023</v>
      </c>
      <c r="D4" s="6" t="s">
        <v>1093</v>
      </c>
      <c r="E4" s="6" t="s">
        <v>10</v>
      </c>
      <c r="F4" s="6">
        <v>5</v>
      </c>
      <c r="G4" s="7" t="s">
        <v>1098</v>
      </c>
      <c r="H4" s="8" t="s">
        <v>1099</v>
      </c>
      <c r="I4" s="8">
        <v>2321</v>
      </c>
    </row>
    <row r="5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33"/>
  </sheetPr>
  <dimension ref="A1:I5"/>
  <sheetViews>
    <sheetView showGridLines="0" workbookViewId="0">
      <pane ySplit="1" topLeftCell="A2" activePane="bottomLeft" state="frozen"/>
      <selection pane="bottomLeft" activeCell="C26" sqref="C26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52.125" customWidth="1"/>
    <col min="8" max="8" width="77.875" style="5" customWidth="1"/>
    <col min="9" max="9" width="16.125" customWidth="1"/>
    <col min="11" max="11" width="8.25" customWidth="1"/>
  </cols>
  <sheetData>
    <row r="1" spans="1:9" ht="16.5" thickTop="1" thickBo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8" t="s">
        <v>6</v>
      </c>
      <c r="H1" s="8" t="s">
        <v>7</v>
      </c>
      <c r="I1" s="8" t="s">
        <v>8</v>
      </c>
    </row>
    <row r="2" spans="1:9" ht="16.5" thickTop="1" thickBot="1">
      <c r="A2" s="6">
        <v>225365</v>
      </c>
      <c r="B2" s="13" t="s">
        <v>1100</v>
      </c>
      <c r="C2" s="6">
        <v>2067</v>
      </c>
      <c r="D2" s="6" t="s">
        <v>746</v>
      </c>
      <c r="E2" s="6" t="s">
        <v>10</v>
      </c>
      <c r="F2" s="6">
        <v>3</v>
      </c>
      <c r="G2" s="7" t="s">
        <v>1082</v>
      </c>
      <c r="H2" s="8" t="s">
        <v>1103</v>
      </c>
      <c r="I2" s="8" t="s">
        <v>1104</v>
      </c>
    </row>
    <row r="3" spans="1:9" ht="16.5" thickTop="1" thickBot="1">
      <c r="A3" s="6">
        <v>225414</v>
      </c>
      <c r="B3" s="13" t="s">
        <v>1100</v>
      </c>
      <c r="C3" s="6">
        <v>2200</v>
      </c>
      <c r="D3" s="6" t="s">
        <v>1101</v>
      </c>
      <c r="E3" s="6" t="s">
        <v>10</v>
      </c>
      <c r="F3" s="6">
        <v>1</v>
      </c>
      <c r="G3" s="7" t="s">
        <v>1105</v>
      </c>
      <c r="H3" s="8" t="s">
        <v>1106</v>
      </c>
      <c r="I3" s="8" t="s">
        <v>1107</v>
      </c>
    </row>
    <row r="4" spans="1:9" ht="16.5" thickTop="1" thickBot="1">
      <c r="A4" s="6">
        <v>225402</v>
      </c>
      <c r="B4" s="13" t="s">
        <v>1100</v>
      </c>
      <c r="C4" s="6">
        <v>4191</v>
      </c>
      <c r="D4" s="6" t="s">
        <v>1102</v>
      </c>
      <c r="E4" s="6" t="s">
        <v>10</v>
      </c>
      <c r="F4" s="6">
        <v>2</v>
      </c>
      <c r="G4" s="7" t="s">
        <v>1108</v>
      </c>
      <c r="H4" s="8" t="s">
        <v>1109</v>
      </c>
      <c r="I4" s="8" t="s">
        <v>1110</v>
      </c>
    </row>
    <row r="5" spans="1:9" ht="15" thickTop="1"/>
  </sheetData>
  <dataValidations count="1">
    <dataValidation type="custom" allowBlank="1" showInputMessage="1" showErrorMessage="1" errorTitle="Duplication Error" error="UNIQUE VALUE ALREADY EXISTS" sqref="H1:H1048576">
      <formula1>COUNTIF(H:H,H1)=1</formula1>
    </dataValidation>
  </dataValidations>
  <pageMargins left="0.7" right="0.7" top="0.75" bottom="0.75" header="0.3" footer="0.3"/>
  <pageSetup orientation="portrait" r:id="rId1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5"/>
  <sheetViews>
    <sheetView showGridLines="0" workbookViewId="0">
      <pane ySplit="1" topLeftCell="A2" activePane="bottomLeft" state="frozen"/>
      <selection pane="bottomLeft" activeCell="F28" sqref="F28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27.375" customWidth="1"/>
    <col min="8" max="8" width="77.875" style="5" customWidth="1"/>
    <col min="9" max="9" width="16.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225422</v>
      </c>
      <c r="B2" s="13" t="s">
        <v>1111</v>
      </c>
      <c r="C2" s="6">
        <v>2102</v>
      </c>
      <c r="D2" s="6" t="s">
        <v>1112</v>
      </c>
      <c r="E2" s="6" t="s">
        <v>10</v>
      </c>
      <c r="F2" s="6">
        <v>1</v>
      </c>
      <c r="G2" s="7" t="s">
        <v>1113</v>
      </c>
      <c r="H2" s="8" t="s">
        <v>1114</v>
      </c>
      <c r="I2" s="8" t="s">
        <v>1115</v>
      </c>
    </row>
    <row r="3" spans="1:9" ht="16.5" thickTop="1" thickBot="1">
      <c r="A3" s="6">
        <v>225449</v>
      </c>
      <c r="B3" s="13" t="s">
        <v>1111</v>
      </c>
      <c r="C3" s="6">
        <v>4023</v>
      </c>
      <c r="D3" s="6" t="s">
        <v>1093</v>
      </c>
      <c r="E3" s="6" t="s">
        <v>23</v>
      </c>
      <c r="F3" s="6">
        <v>2</v>
      </c>
      <c r="G3" s="7" t="s">
        <v>1116</v>
      </c>
      <c r="H3" s="8" t="s">
        <v>1117</v>
      </c>
      <c r="I3" s="8" t="s">
        <v>1120</v>
      </c>
    </row>
    <row r="4" spans="1:9" ht="16.5" thickTop="1" thickBot="1">
      <c r="A4" s="6">
        <v>225456</v>
      </c>
      <c r="B4" s="13" t="s">
        <v>1111</v>
      </c>
      <c r="C4" s="6">
        <v>4180</v>
      </c>
      <c r="D4" s="6" t="s">
        <v>788</v>
      </c>
      <c r="E4" s="6" t="s">
        <v>23</v>
      </c>
      <c r="F4" s="6">
        <v>3</v>
      </c>
      <c r="G4" s="7" t="s">
        <v>1118</v>
      </c>
      <c r="H4" s="8" t="s">
        <v>1119</v>
      </c>
      <c r="I4" s="8" t="s">
        <v>1121</v>
      </c>
    </row>
    <row r="5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:I4"/>
  <sheetViews>
    <sheetView showGridLines="0" topLeftCell="B1" workbookViewId="0">
      <pane ySplit="1" topLeftCell="A2" activePane="bottomLeft" state="frozen"/>
      <selection pane="bottomLeft" activeCell="H3" sqref="H3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27.375" customWidth="1"/>
    <col min="8" max="8" width="77.875" style="5" customWidth="1"/>
    <col min="9" max="9" width="16.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225520</v>
      </c>
      <c r="B2" s="13" t="s">
        <v>1127</v>
      </c>
      <c r="C2" s="6">
        <v>4019</v>
      </c>
      <c r="D2" s="6" t="s">
        <v>1128</v>
      </c>
      <c r="E2" s="6" t="s">
        <v>10</v>
      </c>
      <c r="F2" s="6">
        <v>1</v>
      </c>
      <c r="G2" s="7" t="s">
        <v>1129</v>
      </c>
      <c r="H2" s="8" t="s">
        <v>1130</v>
      </c>
      <c r="I2" s="8" t="s">
        <v>1131</v>
      </c>
    </row>
    <row r="3" spans="1:9" ht="16.5" thickTop="1" thickBot="1">
      <c r="A3" s="6">
        <v>225556</v>
      </c>
      <c r="B3" s="13" t="s">
        <v>1127</v>
      </c>
      <c r="C3" s="6">
        <v>4429</v>
      </c>
      <c r="D3" s="6" t="s">
        <v>512</v>
      </c>
      <c r="E3" s="6" t="s">
        <v>23</v>
      </c>
      <c r="F3" s="6">
        <v>2</v>
      </c>
      <c r="G3" s="7" t="s">
        <v>1132</v>
      </c>
      <c r="H3" s="8" t="s">
        <v>1133</v>
      </c>
      <c r="I3" s="8" t="s">
        <v>1134</v>
      </c>
    </row>
    <row r="4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33"/>
  </sheetPr>
  <dimension ref="A1:I14"/>
  <sheetViews>
    <sheetView showGridLines="0" workbookViewId="0">
      <pane ySplit="1" topLeftCell="A2" activePane="bottomLeft" state="frozen"/>
      <selection pane="bottomLeft" activeCell="E20" sqref="E20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27.375" customWidth="1"/>
    <col min="8" max="8" width="77.875" style="5" customWidth="1"/>
    <col min="9" max="9" width="16.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225569</v>
      </c>
      <c r="B2" s="13" t="s">
        <v>1135</v>
      </c>
      <c r="C2" s="6">
        <v>2117</v>
      </c>
      <c r="D2" s="6" t="s">
        <v>26</v>
      </c>
      <c r="E2" s="6" t="s">
        <v>10</v>
      </c>
      <c r="F2" s="6">
        <v>3</v>
      </c>
      <c r="G2" s="7" t="s">
        <v>1142</v>
      </c>
      <c r="H2" s="8" t="s">
        <v>1143</v>
      </c>
      <c r="I2" s="8" t="s">
        <v>1144</v>
      </c>
    </row>
    <row r="3" spans="1:9" ht="16.5" thickTop="1" thickBot="1">
      <c r="A3" s="6">
        <v>225570</v>
      </c>
      <c r="B3" s="13" t="s">
        <v>1135</v>
      </c>
      <c r="C3" s="6">
        <v>2125</v>
      </c>
      <c r="D3" s="6" t="s">
        <v>600</v>
      </c>
      <c r="E3" s="6" t="s">
        <v>23</v>
      </c>
      <c r="F3" s="6">
        <v>3</v>
      </c>
      <c r="G3" s="7" t="s">
        <v>1145</v>
      </c>
      <c r="H3" s="8" t="s">
        <v>1146</v>
      </c>
      <c r="I3" s="8" t="s">
        <v>1147</v>
      </c>
    </row>
    <row r="4" spans="1:9" ht="16.5" thickTop="1" thickBot="1">
      <c r="A4" s="6">
        <v>225571</v>
      </c>
      <c r="B4" s="13" t="s">
        <v>1135</v>
      </c>
      <c r="C4" s="6">
        <v>2130</v>
      </c>
      <c r="D4" s="6" t="s">
        <v>1136</v>
      </c>
      <c r="E4" s="6" t="s">
        <v>23</v>
      </c>
      <c r="F4" s="6">
        <v>4</v>
      </c>
      <c r="G4" s="7" t="s">
        <v>1148</v>
      </c>
      <c r="H4" s="8" t="s">
        <v>1149</v>
      </c>
      <c r="I4" s="8" t="s">
        <v>1150</v>
      </c>
    </row>
    <row r="5" spans="1:9" ht="16.5" thickTop="1" thickBot="1">
      <c r="A5" s="6">
        <v>225572</v>
      </c>
      <c r="B5" s="13" t="s">
        <v>1135</v>
      </c>
      <c r="C5" s="6">
        <v>2141</v>
      </c>
      <c r="D5" s="6" t="s">
        <v>1137</v>
      </c>
      <c r="E5" s="6" t="s">
        <v>23</v>
      </c>
      <c r="F5" s="6">
        <v>2</v>
      </c>
      <c r="G5" s="7" t="s">
        <v>1154</v>
      </c>
      <c r="H5" s="8" t="s">
        <v>1155</v>
      </c>
      <c r="I5" s="8" t="s">
        <v>1156</v>
      </c>
    </row>
    <row r="6" spans="1:9" ht="16.5" thickTop="1" thickBot="1">
      <c r="A6" s="6">
        <v>225581</v>
      </c>
      <c r="B6" s="13" t="s">
        <v>1135</v>
      </c>
      <c r="C6" s="6">
        <v>2274</v>
      </c>
      <c r="D6" s="6" t="s">
        <v>786</v>
      </c>
      <c r="E6" s="6" t="s">
        <v>23</v>
      </c>
      <c r="F6" s="6">
        <v>1</v>
      </c>
      <c r="G6" s="7" t="s">
        <v>1153</v>
      </c>
      <c r="H6" s="8">
        <v>40978</v>
      </c>
      <c r="I6" s="8" t="s">
        <v>1152</v>
      </c>
    </row>
    <row r="7" spans="1:9" ht="16.5" thickTop="1" thickBot="1">
      <c r="A7" s="6">
        <v>225593</v>
      </c>
      <c r="B7" s="13" t="s">
        <v>1135</v>
      </c>
      <c r="C7" s="6">
        <v>2370</v>
      </c>
      <c r="D7" s="6" t="s">
        <v>305</v>
      </c>
      <c r="E7" s="6" t="s">
        <v>23</v>
      </c>
      <c r="F7" s="6">
        <v>1</v>
      </c>
      <c r="G7" s="7" t="s">
        <v>1157</v>
      </c>
      <c r="H7" s="8">
        <v>40974</v>
      </c>
      <c r="I7" s="8" t="s">
        <v>1158</v>
      </c>
    </row>
    <row r="8" spans="1:9" ht="16.5" thickTop="1" thickBot="1">
      <c r="A8" s="6">
        <v>225642</v>
      </c>
      <c r="B8" s="13" t="s">
        <v>1135</v>
      </c>
      <c r="C8" s="6">
        <v>4395</v>
      </c>
      <c r="D8" s="6" t="s">
        <v>1138</v>
      </c>
      <c r="E8" s="6" t="s">
        <v>10</v>
      </c>
      <c r="F8" s="6">
        <v>4</v>
      </c>
      <c r="G8" s="7" t="s">
        <v>1159</v>
      </c>
      <c r="H8" s="8" t="s">
        <v>1160</v>
      </c>
      <c r="I8" s="8" t="s">
        <v>1151</v>
      </c>
    </row>
    <row r="9" spans="1:9" ht="16.5" thickTop="1" thickBot="1">
      <c r="A9" s="6">
        <v>225657</v>
      </c>
      <c r="B9" s="13" t="s">
        <v>1135</v>
      </c>
      <c r="C9" s="6">
        <v>2468</v>
      </c>
      <c r="D9" s="6" t="s">
        <v>1139</v>
      </c>
      <c r="E9" s="6" t="s">
        <v>10</v>
      </c>
      <c r="F9" s="6">
        <v>1</v>
      </c>
      <c r="G9" s="7" t="s">
        <v>1161</v>
      </c>
      <c r="H9" s="8" t="s">
        <v>1162</v>
      </c>
      <c r="I9" s="8" t="s">
        <v>1163</v>
      </c>
    </row>
    <row r="10" spans="1:9" ht="16.5" thickTop="1" thickBot="1">
      <c r="A10" s="6">
        <v>225664</v>
      </c>
      <c r="B10" s="13" t="s">
        <v>1135</v>
      </c>
      <c r="C10" s="6">
        <v>4159</v>
      </c>
      <c r="D10" s="6" t="s">
        <v>1140</v>
      </c>
      <c r="E10" s="6" t="s">
        <v>10</v>
      </c>
      <c r="F10" s="6">
        <v>4</v>
      </c>
      <c r="G10" s="7" t="s">
        <v>1164</v>
      </c>
      <c r="H10" s="8" t="s">
        <v>1165</v>
      </c>
      <c r="I10" s="8" t="s">
        <v>1166</v>
      </c>
    </row>
    <row r="11" spans="1:9" ht="16.5" thickTop="1" thickBot="1">
      <c r="A11" s="6">
        <v>225671</v>
      </c>
      <c r="B11" s="13" t="s">
        <v>1135</v>
      </c>
      <c r="C11" s="6">
        <v>4393</v>
      </c>
      <c r="D11" s="6" t="s">
        <v>1141</v>
      </c>
      <c r="E11" s="6" t="s">
        <v>23</v>
      </c>
      <c r="F11" s="6">
        <v>1</v>
      </c>
      <c r="G11" s="7" t="s">
        <v>1167</v>
      </c>
      <c r="H11" s="8">
        <v>40979</v>
      </c>
      <c r="I11" s="8" t="s">
        <v>1168</v>
      </c>
    </row>
    <row r="12" spans="1:9" ht="16.5" thickTop="1" thickBot="1">
      <c r="A12" s="6">
        <v>225673</v>
      </c>
      <c r="B12" s="13" t="s">
        <v>1135</v>
      </c>
      <c r="C12" s="6">
        <v>4399</v>
      </c>
      <c r="D12" s="6" t="s">
        <v>598</v>
      </c>
      <c r="E12" s="6" t="s">
        <v>23</v>
      </c>
      <c r="F12" s="6">
        <v>1</v>
      </c>
      <c r="G12" s="7" t="s">
        <v>1169</v>
      </c>
      <c r="H12" s="8">
        <v>40980</v>
      </c>
      <c r="I12" s="8" t="s">
        <v>1170</v>
      </c>
    </row>
    <row r="13" spans="1:9" ht="16.5" thickTop="1" thickBot="1">
      <c r="A13" s="14">
        <v>225678</v>
      </c>
      <c r="B13" s="15" t="s">
        <v>1135</v>
      </c>
      <c r="C13" s="14">
        <v>2200</v>
      </c>
      <c r="D13" s="14" t="s">
        <v>1101</v>
      </c>
      <c r="E13" s="14" t="s">
        <v>23</v>
      </c>
      <c r="F13" s="14">
        <v>1</v>
      </c>
      <c r="G13" s="16" t="s">
        <v>1171</v>
      </c>
      <c r="H13" s="17">
        <v>40987</v>
      </c>
      <c r="I13" s="17" t="s">
        <v>1172</v>
      </c>
    </row>
    <row r="14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1:I14"/>
  <sheetViews>
    <sheetView showGridLines="0" topLeftCell="B1" workbookViewId="0">
      <pane ySplit="1" topLeftCell="A2" activePane="bottomLeft" state="frozen"/>
      <selection pane="bottomLeft" activeCell="D19" sqref="D19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27.375" customWidth="1"/>
    <col min="8" max="8" width="77.875" style="5" customWidth="1"/>
    <col min="9" max="9" width="16.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225691</v>
      </c>
      <c r="B2" s="13" t="s">
        <v>1173</v>
      </c>
      <c r="C2" s="6">
        <v>2085</v>
      </c>
      <c r="D2" s="6" t="s">
        <v>19</v>
      </c>
      <c r="E2" s="6" t="s">
        <v>23</v>
      </c>
      <c r="F2" s="6">
        <v>1</v>
      </c>
      <c r="G2" s="7" t="s">
        <v>1179</v>
      </c>
      <c r="H2" s="8">
        <v>40998</v>
      </c>
      <c r="I2" s="8" t="s">
        <v>1180</v>
      </c>
    </row>
    <row r="3" spans="1:9" ht="16.5" thickTop="1" thickBot="1">
      <c r="A3" s="6">
        <v>225698</v>
      </c>
      <c r="B3" s="13" t="s">
        <v>1173</v>
      </c>
      <c r="C3" s="6">
        <v>2160</v>
      </c>
      <c r="D3" s="6" t="s">
        <v>1174</v>
      </c>
      <c r="E3" s="6" t="s">
        <v>10</v>
      </c>
      <c r="F3" s="6">
        <v>3</v>
      </c>
      <c r="G3" s="7" t="s">
        <v>1181</v>
      </c>
      <c r="H3" s="8" t="s">
        <v>1182</v>
      </c>
      <c r="I3" s="8" t="s">
        <v>1183</v>
      </c>
    </row>
    <row r="4" spans="1:9" ht="16.5" thickTop="1" thickBot="1">
      <c r="A4" s="6">
        <v>225710</v>
      </c>
      <c r="B4" s="13" t="s">
        <v>1173</v>
      </c>
      <c r="C4" s="6">
        <v>2292</v>
      </c>
      <c r="D4" s="6" t="s">
        <v>32</v>
      </c>
      <c r="E4" s="6" t="s">
        <v>23</v>
      </c>
      <c r="F4" s="6">
        <v>2</v>
      </c>
      <c r="G4" s="7" t="s">
        <v>1184</v>
      </c>
      <c r="H4" s="8" t="s">
        <v>1185</v>
      </c>
      <c r="I4" s="8" t="s">
        <v>1186</v>
      </c>
    </row>
    <row r="5" spans="1:9" ht="16.5" thickTop="1" thickBot="1">
      <c r="A5" s="6">
        <v>225714</v>
      </c>
      <c r="B5" s="13" t="s">
        <v>1173</v>
      </c>
      <c r="C5" s="6">
        <v>2315</v>
      </c>
      <c r="D5" s="6" t="s">
        <v>790</v>
      </c>
      <c r="E5" s="6" t="s">
        <v>23</v>
      </c>
      <c r="F5" s="6">
        <v>1</v>
      </c>
      <c r="G5" s="7" t="s">
        <v>1187</v>
      </c>
      <c r="H5" s="8">
        <v>40991</v>
      </c>
      <c r="I5" s="8" t="s">
        <v>1188</v>
      </c>
    </row>
    <row r="6" spans="1:9" ht="16.5" thickTop="1" thickBot="1">
      <c r="A6" s="6">
        <v>225721</v>
      </c>
      <c r="B6" s="13" t="s">
        <v>1173</v>
      </c>
      <c r="C6" s="6">
        <v>2387</v>
      </c>
      <c r="D6" s="6" t="s">
        <v>308</v>
      </c>
      <c r="E6" s="6" t="s">
        <v>23</v>
      </c>
      <c r="F6" s="6">
        <v>1</v>
      </c>
      <c r="G6" s="7" t="s">
        <v>1189</v>
      </c>
      <c r="H6" s="8">
        <v>40997</v>
      </c>
      <c r="I6" s="8" t="s">
        <v>1190</v>
      </c>
    </row>
    <row r="7" spans="1:9" ht="16.5" thickTop="1" thickBot="1">
      <c r="A7" s="6">
        <v>225723</v>
      </c>
      <c r="B7" s="13" t="s">
        <v>1173</v>
      </c>
      <c r="C7" s="6">
        <v>2410</v>
      </c>
      <c r="D7" s="6" t="s">
        <v>1175</v>
      </c>
      <c r="E7" s="6" t="s">
        <v>10</v>
      </c>
      <c r="F7" s="6">
        <v>2</v>
      </c>
      <c r="G7" s="7" t="s">
        <v>1192</v>
      </c>
      <c r="H7" s="8" t="s">
        <v>1193</v>
      </c>
      <c r="I7" s="8" t="s">
        <v>1194</v>
      </c>
    </row>
    <row r="8" spans="1:9" ht="16.5" thickTop="1" thickBot="1">
      <c r="A8" s="6">
        <v>225728</v>
      </c>
      <c r="B8" s="13" t="s">
        <v>1173</v>
      </c>
      <c r="C8" s="6">
        <v>2457</v>
      </c>
      <c r="D8" s="6" t="s">
        <v>311</v>
      </c>
      <c r="E8" s="6" t="s">
        <v>10</v>
      </c>
      <c r="F8" s="6">
        <v>2</v>
      </c>
      <c r="G8" s="7" t="s">
        <v>1195</v>
      </c>
      <c r="H8" s="8" t="s">
        <v>1196</v>
      </c>
      <c r="I8" s="8" t="s">
        <v>1197</v>
      </c>
    </row>
    <row r="9" spans="1:9" ht="16.5" thickTop="1" thickBot="1">
      <c r="A9" s="6">
        <v>225729</v>
      </c>
      <c r="B9" s="13" t="s">
        <v>1173</v>
      </c>
      <c r="C9" s="6">
        <v>2459</v>
      </c>
      <c r="D9" s="6" t="s">
        <v>1176</v>
      </c>
      <c r="E9" s="6" t="s">
        <v>10</v>
      </c>
      <c r="F9" s="6">
        <v>1</v>
      </c>
      <c r="G9" s="7" t="s">
        <v>1198</v>
      </c>
      <c r="H9" s="8">
        <v>226163</v>
      </c>
      <c r="I9" s="8" t="s">
        <v>1199</v>
      </c>
    </row>
    <row r="10" spans="1:9" ht="16.5" thickTop="1" thickBot="1">
      <c r="A10" s="6">
        <v>225738</v>
      </c>
      <c r="B10" s="13" t="s">
        <v>1173</v>
      </c>
      <c r="C10" s="6">
        <v>4007</v>
      </c>
      <c r="D10" s="6" t="s">
        <v>507</v>
      </c>
      <c r="E10" s="6" t="s">
        <v>23</v>
      </c>
      <c r="F10" s="6">
        <v>2</v>
      </c>
      <c r="G10" s="7" t="s">
        <v>1200</v>
      </c>
      <c r="H10" s="8" t="s">
        <v>1201</v>
      </c>
      <c r="I10" s="8" t="s">
        <v>1191</v>
      </c>
    </row>
    <row r="11" spans="1:9" ht="16.5" thickTop="1" thickBot="1">
      <c r="A11" s="6">
        <v>225746</v>
      </c>
      <c r="B11" s="13" t="s">
        <v>1173</v>
      </c>
      <c r="C11" s="6">
        <v>4046</v>
      </c>
      <c r="D11" s="6" t="s">
        <v>1177</v>
      </c>
      <c r="E11" s="6" t="s">
        <v>23</v>
      </c>
      <c r="F11" s="6">
        <v>2</v>
      </c>
      <c r="G11" s="7" t="s">
        <v>1202</v>
      </c>
      <c r="H11" s="8" t="s">
        <v>1203</v>
      </c>
      <c r="I11" s="8" t="s">
        <v>1204</v>
      </c>
    </row>
    <row r="12" spans="1:9" ht="16.5" thickTop="1" thickBot="1">
      <c r="A12" s="6">
        <v>225766</v>
      </c>
      <c r="B12" s="13" t="s">
        <v>1173</v>
      </c>
      <c r="C12" s="6">
        <v>4230</v>
      </c>
      <c r="D12" s="6" t="s">
        <v>56</v>
      </c>
      <c r="E12" s="6" t="s">
        <v>23</v>
      </c>
      <c r="F12" s="6">
        <v>2</v>
      </c>
      <c r="G12" s="7" t="s">
        <v>1205</v>
      </c>
      <c r="H12" s="8" t="s">
        <v>1206</v>
      </c>
      <c r="I12" s="8" t="s">
        <v>1207</v>
      </c>
    </row>
    <row r="13" spans="1:9" ht="16.5" thickTop="1" thickBot="1">
      <c r="A13" s="6">
        <v>225777</v>
      </c>
      <c r="B13" s="13" t="s">
        <v>1173</v>
      </c>
      <c r="C13" s="6">
        <v>4343</v>
      </c>
      <c r="D13" s="6" t="s">
        <v>1178</v>
      </c>
      <c r="E13" s="6" t="s">
        <v>10</v>
      </c>
      <c r="F13" s="6">
        <v>3</v>
      </c>
      <c r="G13" s="7" t="s">
        <v>1208</v>
      </c>
      <c r="H13" s="8" t="s">
        <v>1209</v>
      </c>
      <c r="I13" s="8" t="s">
        <v>1210</v>
      </c>
    </row>
    <row r="14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I10"/>
  <sheetViews>
    <sheetView showGridLines="0" topLeftCell="B1" workbookViewId="0">
      <pane ySplit="1" topLeftCell="A2" activePane="bottomLeft" state="frozen"/>
      <selection pane="bottomLeft" activeCell="F17" sqref="F17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28.25" bestFit="1" customWidth="1"/>
    <col min="5" max="5" width="16.125" customWidth="1"/>
    <col min="6" max="6" width="19.25" customWidth="1"/>
    <col min="7" max="7" width="27.375" customWidth="1"/>
    <col min="8" max="8" width="77.875" style="5" customWidth="1"/>
    <col min="9" max="9" width="16.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225804</v>
      </c>
      <c r="B2" s="13">
        <v>46225</v>
      </c>
      <c r="C2" s="6">
        <v>2109</v>
      </c>
      <c r="D2" s="6" t="s">
        <v>1211</v>
      </c>
      <c r="E2" s="6" t="s">
        <v>23</v>
      </c>
      <c r="F2" s="6">
        <v>2</v>
      </c>
      <c r="G2" s="7" t="s">
        <v>1215</v>
      </c>
      <c r="H2" s="8" t="s">
        <v>1216</v>
      </c>
      <c r="I2" s="8" t="s">
        <v>1217</v>
      </c>
    </row>
    <row r="3" spans="1:9" ht="16.5" thickTop="1" thickBot="1">
      <c r="A3" s="6">
        <v>225840</v>
      </c>
      <c r="B3" s="13">
        <v>46225</v>
      </c>
      <c r="C3" s="6">
        <v>2338</v>
      </c>
      <c r="D3" s="6" t="s">
        <v>35</v>
      </c>
      <c r="E3" s="6" t="s">
        <v>23</v>
      </c>
      <c r="F3" s="6">
        <v>2</v>
      </c>
      <c r="G3" s="7" t="s">
        <v>1218</v>
      </c>
      <c r="H3" s="8" t="s">
        <v>1221</v>
      </c>
      <c r="I3" s="8" t="s">
        <v>1222</v>
      </c>
    </row>
    <row r="4" spans="1:9" ht="16.5" thickTop="1" thickBot="1">
      <c r="A4" s="6">
        <v>225841</v>
      </c>
      <c r="B4" s="13">
        <v>46225</v>
      </c>
      <c r="C4" s="6">
        <v>2370</v>
      </c>
      <c r="D4" s="6" t="s">
        <v>305</v>
      </c>
      <c r="E4" s="6" t="s">
        <v>23</v>
      </c>
      <c r="F4" s="6">
        <v>2</v>
      </c>
      <c r="G4" s="7" t="s">
        <v>1219</v>
      </c>
      <c r="H4" s="8" t="s">
        <v>1223</v>
      </c>
      <c r="I4" s="8" t="s">
        <v>1224</v>
      </c>
    </row>
    <row r="5" spans="1:9" ht="16.5" thickTop="1" thickBot="1">
      <c r="A5" s="6">
        <v>225852</v>
      </c>
      <c r="B5" s="13">
        <v>46225</v>
      </c>
      <c r="C5" s="6">
        <v>2484</v>
      </c>
      <c r="D5" s="6" t="s">
        <v>621</v>
      </c>
      <c r="E5" s="6" t="s">
        <v>23</v>
      </c>
      <c r="F5" s="6">
        <v>1</v>
      </c>
      <c r="G5" s="7" t="s">
        <v>1220</v>
      </c>
      <c r="H5" s="8">
        <v>41005</v>
      </c>
      <c r="I5" s="8" t="s">
        <v>1225</v>
      </c>
    </row>
    <row r="6" spans="1:9" ht="16.5" thickTop="1" thickBot="1">
      <c r="A6" s="6">
        <v>225876</v>
      </c>
      <c r="B6" s="13">
        <v>46225</v>
      </c>
      <c r="C6" s="6">
        <v>4266</v>
      </c>
      <c r="D6" s="6" t="s">
        <v>1212</v>
      </c>
      <c r="E6" s="6" t="s">
        <v>10</v>
      </c>
      <c r="F6" s="6">
        <v>3</v>
      </c>
      <c r="G6" s="7" t="s">
        <v>1226</v>
      </c>
      <c r="H6" s="8" t="s">
        <v>1227</v>
      </c>
      <c r="I6" s="8" t="s">
        <v>1228</v>
      </c>
    </row>
    <row r="7" spans="1:9" ht="16.5" thickTop="1" thickBot="1">
      <c r="A7" s="6">
        <v>225880</v>
      </c>
      <c r="B7" s="13">
        <v>46225</v>
      </c>
      <c r="C7" s="6">
        <v>4303</v>
      </c>
      <c r="D7" s="6" t="s">
        <v>1213</v>
      </c>
      <c r="E7" s="6" t="s">
        <v>10</v>
      </c>
      <c r="F7" s="6">
        <v>4</v>
      </c>
      <c r="G7" s="7" t="s">
        <v>1229</v>
      </c>
      <c r="H7" s="8" t="s">
        <v>1230</v>
      </c>
      <c r="I7" s="8" t="s">
        <v>1231</v>
      </c>
    </row>
    <row r="8" spans="1:9" ht="16.5" thickTop="1" thickBot="1">
      <c r="A8" s="6">
        <v>225894</v>
      </c>
      <c r="B8" s="13">
        <v>46225</v>
      </c>
      <c r="C8" s="6">
        <v>4429</v>
      </c>
      <c r="D8" s="6" t="s">
        <v>512</v>
      </c>
      <c r="E8" s="6" t="s">
        <v>23</v>
      </c>
      <c r="F8" s="6">
        <v>3</v>
      </c>
      <c r="G8" s="7" t="s">
        <v>1232</v>
      </c>
      <c r="H8" s="8" t="s">
        <v>1233</v>
      </c>
      <c r="I8" s="8" t="s">
        <v>1234</v>
      </c>
    </row>
    <row r="9" spans="1:9" ht="16.5" thickTop="1" thickBot="1">
      <c r="A9" s="6">
        <v>225896</v>
      </c>
      <c r="B9" s="13">
        <v>46225</v>
      </c>
      <c r="C9" s="6">
        <v>4463</v>
      </c>
      <c r="D9" s="6" t="s">
        <v>1214</v>
      </c>
      <c r="E9" s="6" t="s">
        <v>23</v>
      </c>
      <c r="F9" s="6">
        <v>4</v>
      </c>
      <c r="G9" s="7" t="s">
        <v>1235</v>
      </c>
      <c r="H9" s="8" t="s">
        <v>1236</v>
      </c>
      <c r="I9" s="8" t="s">
        <v>1237</v>
      </c>
    </row>
    <row r="10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I5"/>
  <sheetViews>
    <sheetView showGridLines="0" topLeftCell="B1" workbookViewId="0">
      <pane ySplit="1" topLeftCell="A2" activePane="bottomLeft" state="frozen"/>
      <selection pane="bottomLeft" activeCell="E22" sqref="E22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35.625" customWidth="1"/>
    <col min="5" max="5" width="16.125" customWidth="1"/>
    <col min="6" max="6" width="19.25" customWidth="1"/>
    <col min="7" max="7" width="27.375" customWidth="1"/>
    <col min="8" max="8" width="77.875" style="5" customWidth="1"/>
    <col min="9" max="9" width="16.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225926</v>
      </c>
      <c r="B2" s="13" t="s">
        <v>1240</v>
      </c>
      <c r="C2" s="6">
        <v>2460</v>
      </c>
      <c r="D2" s="6" t="s">
        <v>1241</v>
      </c>
      <c r="E2" s="6" t="s">
        <v>23</v>
      </c>
      <c r="F2" s="6">
        <v>2</v>
      </c>
      <c r="G2" s="7" t="s">
        <v>1244</v>
      </c>
      <c r="H2" s="8" t="s">
        <v>1245</v>
      </c>
      <c r="I2" s="8" t="s">
        <v>1246</v>
      </c>
    </row>
    <row r="3" spans="1:9" ht="16.5" thickTop="1" thickBot="1">
      <c r="A3" s="6">
        <v>225938</v>
      </c>
      <c r="B3" s="13" t="s">
        <v>1240</v>
      </c>
      <c r="C3" s="6">
        <v>4277</v>
      </c>
      <c r="D3" s="6" t="s">
        <v>1242</v>
      </c>
      <c r="E3" s="6" t="s">
        <v>23</v>
      </c>
      <c r="F3" s="6">
        <v>2</v>
      </c>
      <c r="G3" s="7" t="s">
        <v>1247</v>
      </c>
      <c r="H3" s="8" t="s">
        <v>1248</v>
      </c>
      <c r="I3" s="8" t="s">
        <v>1249</v>
      </c>
    </row>
    <row r="4" spans="1:9" ht="16.5" thickTop="1" thickBot="1">
      <c r="A4" s="6">
        <v>225947</v>
      </c>
      <c r="B4" s="13" t="s">
        <v>1240</v>
      </c>
      <c r="C4" s="6">
        <v>4378</v>
      </c>
      <c r="D4" s="6" t="s">
        <v>1243</v>
      </c>
      <c r="E4" s="6" t="s">
        <v>10</v>
      </c>
      <c r="F4" s="6">
        <v>2</v>
      </c>
      <c r="G4" s="7" t="s">
        <v>1250</v>
      </c>
      <c r="H4" s="8" t="s">
        <v>1251</v>
      </c>
      <c r="I4" s="8" t="s">
        <v>1252</v>
      </c>
    </row>
    <row r="5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A1A06"/>
  </sheetPr>
  <dimension ref="A1:I9"/>
  <sheetViews>
    <sheetView showGridLines="0" workbookViewId="0">
      <pane ySplit="1" topLeftCell="A2" activePane="bottomLeft" state="frozen"/>
      <selection pane="bottomLeft" activeCell="E17" sqref="E17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35.625" customWidth="1"/>
    <col min="5" max="5" width="16.125" customWidth="1"/>
    <col min="6" max="6" width="19.25" customWidth="1"/>
    <col min="7" max="7" width="27.375" customWidth="1"/>
    <col min="8" max="8" width="77.875" style="5" customWidth="1"/>
    <col min="9" max="9" width="16.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225961</v>
      </c>
      <c r="B2" s="13" t="s">
        <v>1253</v>
      </c>
      <c r="C2" s="6">
        <v>2083</v>
      </c>
      <c r="D2" s="6" t="s">
        <v>16</v>
      </c>
      <c r="E2" s="6" t="s">
        <v>23</v>
      </c>
      <c r="F2" s="6">
        <v>3</v>
      </c>
      <c r="G2" s="7" t="s">
        <v>1258</v>
      </c>
      <c r="H2" s="8" t="s">
        <v>1264</v>
      </c>
      <c r="I2" s="8" t="s">
        <v>1265</v>
      </c>
    </row>
    <row r="3" spans="1:9" ht="16.5" thickTop="1" thickBot="1">
      <c r="A3" s="6">
        <v>225967</v>
      </c>
      <c r="B3" s="13" t="s">
        <v>1253</v>
      </c>
      <c r="C3" s="6">
        <v>2129</v>
      </c>
      <c r="D3" s="6" t="s">
        <v>747</v>
      </c>
      <c r="E3" s="6" t="s">
        <v>10</v>
      </c>
      <c r="F3" s="6">
        <v>3</v>
      </c>
      <c r="G3" s="7" t="s">
        <v>1257</v>
      </c>
      <c r="H3" s="8" t="s">
        <v>1259</v>
      </c>
      <c r="I3" s="8" t="s">
        <v>1260</v>
      </c>
    </row>
    <row r="4" spans="1:9" ht="16.5" thickTop="1" thickBot="1">
      <c r="A4" s="6">
        <v>225989</v>
      </c>
      <c r="B4" s="13" t="s">
        <v>1253</v>
      </c>
      <c r="C4" s="6">
        <v>2352</v>
      </c>
      <c r="D4" s="6" t="s">
        <v>1254</v>
      </c>
      <c r="E4" s="6" t="s">
        <v>23</v>
      </c>
      <c r="F4" s="6">
        <v>3</v>
      </c>
      <c r="G4" s="7" t="s">
        <v>1261</v>
      </c>
      <c r="H4" s="8" t="s">
        <v>1262</v>
      </c>
      <c r="I4" s="8" t="s">
        <v>1263</v>
      </c>
    </row>
    <row r="5" spans="1:9" ht="16.5" thickTop="1" thickBot="1">
      <c r="A5" s="6">
        <v>226008</v>
      </c>
      <c r="B5" s="13" t="s">
        <v>1253</v>
      </c>
      <c r="C5" s="6">
        <v>4079</v>
      </c>
      <c r="D5" s="6" t="s">
        <v>627</v>
      </c>
      <c r="E5" s="6" t="s">
        <v>23</v>
      </c>
      <c r="F5" s="6">
        <v>2</v>
      </c>
      <c r="G5" s="7" t="s">
        <v>1266</v>
      </c>
      <c r="H5" s="8" t="s">
        <v>1267</v>
      </c>
      <c r="I5" s="8" t="s">
        <v>1268</v>
      </c>
    </row>
    <row r="6" spans="1:9" ht="16.5" thickTop="1" thickBot="1">
      <c r="A6" s="6">
        <v>226020</v>
      </c>
      <c r="B6" s="13" t="s">
        <v>1253</v>
      </c>
      <c r="C6" s="6">
        <v>4191</v>
      </c>
      <c r="D6" s="6" t="s">
        <v>1102</v>
      </c>
      <c r="E6" s="6" t="s">
        <v>23</v>
      </c>
      <c r="F6" s="6">
        <v>1</v>
      </c>
      <c r="G6" s="7" t="s">
        <v>1269</v>
      </c>
      <c r="H6" s="8">
        <v>41025</v>
      </c>
      <c r="I6" s="8" t="s">
        <v>1270</v>
      </c>
    </row>
    <row r="7" spans="1:9" ht="16.5" thickTop="1" thickBot="1">
      <c r="A7" s="6">
        <v>226046</v>
      </c>
      <c r="B7" s="13" t="s">
        <v>1253</v>
      </c>
      <c r="C7" s="6">
        <v>4451</v>
      </c>
      <c r="D7" s="6" t="s">
        <v>1255</v>
      </c>
      <c r="E7" s="6" t="s">
        <v>10</v>
      </c>
      <c r="F7" s="6">
        <v>2</v>
      </c>
      <c r="G7" s="7" t="s">
        <v>1273</v>
      </c>
      <c r="H7" s="8" t="s">
        <v>1271</v>
      </c>
      <c r="I7" s="8" t="s">
        <v>1272</v>
      </c>
    </row>
    <row r="8" spans="1:9" ht="16.5" thickTop="1" thickBot="1">
      <c r="A8" s="6">
        <v>226050</v>
      </c>
      <c r="B8" s="13" t="s">
        <v>1253</v>
      </c>
      <c r="C8" s="6">
        <v>4482</v>
      </c>
      <c r="D8" s="6" t="s">
        <v>1256</v>
      </c>
      <c r="E8" s="6" t="s">
        <v>23</v>
      </c>
      <c r="F8" s="6">
        <v>3</v>
      </c>
      <c r="G8" s="7" t="s">
        <v>1274</v>
      </c>
      <c r="H8" s="8" t="s">
        <v>1275</v>
      </c>
      <c r="I8" s="8" t="s">
        <v>1276</v>
      </c>
    </row>
    <row r="9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0C80"/>
  </sheetPr>
  <dimension ref="A1:I35"/>
  <sheetViews>
    <sheetView showGridLines="0" topLeftCell="D1" workbookViewId="0">
      <pane ySplit="1" topLeftCell="A2" activePane="bottomLeft" state="frozen"/>
      <selection pane="bottomLeft" activeCell="M19" sqref="M19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35.625" customWidth="1"/>
    <col min="5" max="5" width="16.125" customWidth="1"/>
    <col min="6" max="6" width="19.25" customWidth="1"/>
    <col min="7" max="7" width="33.375" customWidth="1"/>
    <col min="8" max="8" width="77.875" style="5" customWidth="1"/>
    <col min="9" max="9" width="16.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226053</v>
      </c>
      <c r="B2" s="13" t="s">
        <v>1277</v>
      </c>
      <c r="C2" s="6">
        <v>2003</v>
      </c>
      <c r="D2" s="6" t="s">
        <v>296</v>
      </c>
      <c r="E2" s="6" t="s">
        <v>10</v>
      </c>
      <c r="F2" s="6">
        <v>4</v>
      </c>
      <c r="G2" s="7" t="s">
        <v>1284</v>
      </c>
      <c r="H2" s="8" t="s">
        <v>1285</v>
      </c>
      <c r="I2" s="8" t="s">
        <v>1286</v>
      </c>
    </row>
    <row r="3" spans="1:9" ht="16.5" thickTop="1" thickBot="1">
      <c r="A3" s="6">
        <v>226071</v>
      </c>
      <c r="B3" s="13" t="s">
        <v>1277</v>
      </c>
      <c r="C3" s="6">
        <v>2117</v>
      </c>
      <c r="D3" s="6" t="s">
        <v>26</v>
      </c>
      <c r="E3" s="6" t="s">
        <v>23</v>
      </c>
      <c r="F3" s="6">
        <v>2</v>
      </c>
      <c r="G3" s="7" t="s">
        <v>1287</v>
      </c>
      <c r="H3" s="8" t="s">
        <v>1288</v>
      </c>
      <c r="I3" s="8" t="s">
        <v>1289</v>
      </c>
    </row>
    <row r="4" spans="1:9" ht="16.5" thickTop="1" thickBot="1">
      <c r="A4" s="6">
        <v>226074</v>
      </c>
      <c r="B4" s="13" t="s">
        <v>1277</v>
      </c>
      <c r="C4" s="6">
        <v>2126</v>
      </c>
      <c r="D4" s="6" t="s">
        <v>1091</v>
      </c>
      <c r="E4" s="6" t="s">
        <v>10</v>
      </c>
      <c r="F4" s="6">
        <v>6</v>
      </c>
      <c r="G4" s="7" t="s">
        <v>1290</v>
      </c>
      <c r="H4" s="8" t="s">
        <v>1291</v>
      </c>
      <c r="I4" s="8" t="s">
        <v>1292</v>
      </c>
    </row>
    <row r="5" spans="1:9" ht="16.5" thickTop="1" thickBot="1">
      <c r="A5" s="6">
        <v>226076</v>
      </c>
      <c r="B5" s="13" t="s">
        <v>1277</v>
      </c>
      <c r="C5" s="6">
        <v>2129</v>
      </c>
      <c r="D5" s="6" t="s">
        <v>747</v>
      </c>
      <c r="E5" s="6" t="s">
        <v>23</v>
      </c>
      <c r="F5" s="6">
        <v>5</v>
      </c>
      <c r="G5" s="7" t="s">
        <v>1372</v>
      </c>
      <c r="H5" s="8" t="s">
        <v>1373</v>
      </c>
      <c r="I5" s="8" t="s">
        <v>1374</v>
      </c>
    </row>
    <row r="6" spans="1:9" ht="16.5" thickTop="1" thickBot="1">
      <c r="A6" s="6">
        <v>226077</v>
      </c>
      <c r="B6" s="13" t="s">
        <v>1277</v>
      </c>
      <c r="C6" s="6">
        <v>2130</v>
      </c>
      <c r="D6" s="6" t="s">
        <v>1136</v>
      </c>
      <c r="E6" s="6" t="s">
        <v>10</v>
      </c>
      <c r="F6" s="6">
        <v>5</v>
      </c>
      <c r="G6" s="7" t="s">
        <v>1293</v>
      </c>
      <c r="H6" s="8" t="s">
        <v>1294</v>
      </c>
      <c r="I6" s="8" t="s">
        <v>1295</v>
      </c>
    </row>
    <row r="7" spans="1:9" ht="16.5" thickTop="1" thickBot="1">
      <c r="A7" s="6">
        <v>226084</v>
      </c>
      <c r="B7" s="13" t="s">
        <v>1277</v>
      </c>
      <c r="C7" s="6">
        <v>2173</v>
      </c>
      <c r="D7" s="6" t="s">
        <v>563</v>
      </c>
      <c r="E7" s="6" t="s">
        <v>23</v>
      </c>
      <c r="F7" s="6">
        <v>3</v>
      </c>
      <c r="G7" s="7" t="s">
        <v>1296</v>
      </c>
      <c r="H7" s="8" t="s">
        <v>1297</v>
      </c>
      <c r="I7" s="8" t="s">
        <v>1298</v>
      </c>
    </row>
    <row r="8" spans="1:9" ht="16.5" thickTop="1" thickBot="1">
      <c r="A8" s="6">
        <v>226088</v>
      </c>
      <c r="B8" s="13" t="s">
        <v>1277</v>
      </c>
      <c r="C8" s="6">
        <v>2210</v>
      </c>
      <c r="D8" s="6" t="s">
        <v>1278</v>
      </c>
      <c r="E8" s="6" t="s">
        <v>23</v>
      </c>
      <c r="F8" s="6">
        <v>2</v>
      </c>
      <c r="G8" s="7" t="s">
        <v>1299</v>
      </c>
      <c r="H8" s="8" t="s">
        <v>1300</v>
      </c>
      <c r="I8" s="8" t="s">
        <v>1301</v>
      </c>
    </row>
    <row r="9" spans="1:9" ht="16.5" thickTop="1" thickBot="1">
      <c r="A9" s="6">
        <v>226094</v>
      </c>
      <c r="B9" s="13" t="s">
        <v>1277</v>
      </c>
      <c r="C9" s="6">
        <v>2232</v>
      </c>
      <c r="D9" s="6" t="s">
        <v>789</v>
      </c>
      <c r="E9" s="6" t="s">
        <v>10</v>
      </c>
      <c r="F9" s="6">
        <v>2</v>
      </c>
      <c r="G9" s="7" t="s">
        <v>1302</v>
      </c>
      <c r="H9" s="8" t="s">
        <v>1303</v>
      </c>
      <c r="I9" s="8" t="s">
        <v>1304</v>
      </c>
    </row>
    <row r="10" spans="1:9" ht="16.5" thickTop="1" thickBot="1">
      <c r="A10" s="6">
        <v>226100</v>
      </c>
      <c r="B10" s="13" t="s">
        <v>1277</v>
      </c>
      <c r="C10" s="6">
        <v>2247</v>
      </c>
      <c r="D10" s="6" t="s">
        <v>1279</v>
      </c>
      <c r="E10" s="6" t="s">
        <v>23</v>
      </c>
      <c r="F10" s="6">
        <v>3</v>
      </c>
      <c r="G10" s="7" t="s">
        <v>1305</v>
      </c>
      <c r="H10" s="8" t="s">
        <v>1306</v>
      </c>
      <c r="I10" s="8" t="s">
        <v>1307</v>
      </c>
    </row>
    <row r="11" spans="1:9" ht="16.5" thickTop="1" thickBot="1">
      <c r="A11" s="6">
        <v>226103</v>
      </c>
      <c r="B11" s="13" t="s">
        <v>1277</v>
      </c>
      <c r="C11" s="6">
        <v>2278</v>
      </c>
      <c r="D11" s="6" t="s">
        <v>710</v>
      </c>
      <c r="E11" s="6" t="s">
        <v>23</v>
      </c>
      <c r="F11" s="6">
        <v>1</v>
      </c>
      <c r="G11" s="7" t="s">
        <v>1308</v>
      </c>
      <c r="H11" s="8">
        <v>41053</v>
      </c>
      <c r="I11" s="8" t="s">
        <v>1309</v>
      </c>
    </row>
    <row r="12" spans="1:9" ht="16.5" thickTop="1" thickBot="1">
      <c r="A12" s="6">
        <v>226108</v>
      </c>
      <c r="B12" s="13" t="s">
        <v>1277</v>
      </c>
      <c r="C12" s="6">
        <v>2315</v>
      </c>
      <c r="D12" s="6" t="s">
        <v>790</v>
      </c>
      <c r="E12" s="6" t="s">
        <v>23</v>
      </c>
      <c r="F12" s="6">
        <v>2</v>
      </c>
      <c r="G12" s="7" t="s">
        <v>1310</v>
      </c>
      <c r="H12" s="8" t="s">
        <v>1375</v>
      </c>
      <c r="I12" s="8" t="s">
        <v>1327</v>
      </c>
    </row>
    <row r="13" spans="1:9" ht="16.5" thickTop="1" thickBot="1">
      <c r="A13" s="6">
        <v>226109</v>
      </c>
      <c r="B13" s="13" t="s">
        <v>1277</v>
      </c>
      <c r="C13" s="6">
        <v>2320</v>
      </c>
      <c r="D13" s="6" t="s">
        <v>300</v>
      </c>
      <c r="E13" s="6" t="s">
        <v>10</v>
      </c>
      <c r="F13" s="6">
        <v>2</v>
      </c>
      <c r="G13" s="7" t="s">
        <v>1311</v>
      </c>
      <c r="H13" s="8" t="s">
        <v>1312</v>
      </c>
      <c r="I13" s="8" t="s">
        <v>1313</v>
      </c>
    </row>
    <row r="14" spans="1:9" ht="16.5" thickTop="1" thickBot="1">
      <c r="A14" s="6">
        <v>226111</v>
      </c>
      <c r="B14" s="13" t="s">
        <v>1277</v>
      </c>
      <c r="C14" s="6">
        <v>2327</v>
      </c>
      <c r="D14" s="6" t="s">
        <v>612</v>
      </c>
      <c r="E14" s="6" t="s">
        <v>23</v>
      </c>
      <c r="F14" s="6">
        <v>1</v>
      </c>
      <c r="G14" s="7" t="s">
        <v>1314</v>
      </c>
      <c r="H14" s="8">
        <v>41060</v>
      </c>
      <c r="I14" s="8" t="s">
        <v>1315</v>
      </c>
    </row>
    <row r="15" spans="1:9" ht="16.5" thickTop="1" thickBot="1">
      <c r="A15" s="6">
        <v>226112</v>
      </c>
      <c r="B15" s="13" t="s">
        <v>1277</v>
      </c>
      <c r="C15" s="6">
        <v>2339</v>
      </c>
      <c r="D15" s="6" t="s">
        <v>1092</v>
      </c>
      <c r="E15" s="6" t="s">
        <v>10</v>
      </c>
      <c r="F15" s="6">
        <v>3</v>
      </c>
      <c r="G15" s="7" t="s">
        <v>1316</v>
      </c>
      <c r="H15" s="8" t="s">
        <v>1317</v>
      </c>
      <c r="I15" s="8" t="s">
        <v>1318</v>
      </c>
    </row>
    <row r="16" spans="1:9" ht="16.5" thickTop="1" thickBot="1">
      <c r="A16" s="6">
        <v>226124</v>
      </c>
      <c r="B16" s="13" t="s">
        <v>1277</v>
      </c>
      <c r="C16" s="6">
        <v>2405</v>
      </c>
      <c r="D16" s="6" t="s">
        <v>711</v>
      </c>
      <c r="E16" s="6" t="s">
        <v>10</v>
      </c>
      <c r="F16" s="6">
        <v>3</v>
      </c>
      <c r="G16" s="7" t="s">
        <v>1319</v>
      </c>
      <c r="H16" s="8" t="s">
        <v>1323</v>
      </c>
      <c r="I16" s="8" t="s">
        <v>1324</v>
      </c>
    </row>
    <row r="17" spans="1:9" ht="16.5" thickTop="1" thickBot="1">
      <c r="A17" s="6">
        <v>226128</v>
      </c>
      <c r="B17" s="13" t="s">
        <v>1277</v>
      </c>
      <c r="C17" s="6">
        <v>2419</v>
      </c>
      <c r="D17" s="6" t="s">
        <v>749</v>
      </c>
      <c r="E17" s="6" t="s">
        <v>23</v>
      </c>
      <c r="F17" s="6">
        <v>3</v>
      </c>
      <c r="G17" s="7" t="s">
        <v>1320</v>
      </c>
      <c r="H17" s="8" t="s">
        <v>1325</v>
      </c>
      <c r="I17" s="8" t="s">
        <v>1326</v>
      </c>
    </row>
    <row r="18" spans="1:9" ht="16.5" thickTop="1" thickBot="1">
      <c r="A18" s="6">
        <v>226135</v>
      </c>
      <c r="B18" s="13" t="s">
        <v>1277</v>
      </c>
      <c r="C18" s="6">
        <v>2452</v>
      </c>
      <c r="D18" s="6" t="s">
        <v>791</v>
      </c>
      <c r="E18" s="6" t="s">
        <v>23</v>
      </c>
      <c r="F18" s="6">
        <v>4</v>
      </c>
      <c r="G18" s="7" t="s">
        <v>1328</v>
      </c>
      <c r="H18" s="8" t="s">
        <v>1376</v>
      </c>
      <c r="I18" s="8" t="s">
        <v>1377</v>
      </c>
    </row>
    <row r="19" spans="1:9" ht="16.5" thickTop="1" thickBot="1">
      <c r="A19" s="6">
        <v>226143</v>
      </c>
      <c r="B19" s="13" t="s">
        <v>1277</v>
      </c>
      <c r="C19" s="6">
        <v>4023</v>
      </c>
      <c r="D19" s="6" t="s">
        <v>1093</v>
      </c>
      <c r="E19" s="6" t="s">
        <v>23</v>
      </c>
      <c r="F19" s="6">
        <v>2</v>
      </c>
      <c r="G19" s="7" t="s">
        <v>1321</v>
      </c>
      <c r="H19" s="8" t="s">
        <v>1329</v>
      </c>
      <c r="I19" s="8" t="s">
        <v>1330</v>
      </c>
    </row>
    <row r="20" spans="1:9" ht="16.5" thickTop="1" thickBot="1">
      <c r="A20" s="6">
        <v>226148</v>
      </c>
      <c r="B20" s="13" t="s">
        <v>1277</v>
      </c>
      <c r="C20" s="6">
        <v>4046</v>
      </c>
      <c r="D20" s="6" t="s">
        <v>1177</v>
      </c>
      <c r="E20" s="6" t="s">
        <v>10</v>
      </c>
      <c r="F20" s="6">
        <v>6</v>
      </c>
      <c r="G20" s="7" t="s">
        <v>1322</v>
      </c>
      <c r="H20" s="8" t="s">
        <v>1331</v>
      </c>
      <c r="I20" s="8" t="s">
        <v>1332</v>
      </c>
    </row>
    <row r="21" spans="1:9" ht="16.5" thickTop="1" thickBot="1">
      <c r="A21" s="6">
        <v>226149</v>
      </c>
      <c r="B21" s="13" t="s">
        <v>1277</v>
      </c>
      <c r="C21" s="6">
        <v>4058</v>
      </c>
      <c r="D21" s="6" t="s">
        <v>596</v>
      </c>
      <c r="E21" s="6" t="s">
        <v>23</v>
      </c>
      <c r="F21" s="6">
        <v>1</v>
      </c>
      <c r="G21" s="7" t="s">
        <v>1333</v>
      </c>
      <c r="H21" s="8">
        <v>41042</v>
      </c>
      <c r="I21" s="8" t="s">
        <v>1334</v>
      </c>
    </row>
    <row r="22" spans="1:9" ht="16.5" thickTop="1" thickBot="1">
      <c r="A22" s="6">
        <v>226151</v>
      </c>
      <c r="B22" s="13" t="s">
        <v>1277</v>
      </c>
      <c r="C22" s="6">
        <v>4074</v>
      </c>
      <c r="D22" s="6" t="s">
        <v>624</v>
      </c>
      <c r="E22" s="6" t="s">
        <v>23</v>
      </c>
      <c r="F22" s="6">
        <v>2</v>
      </c>
      <c r="G22" s="7" t="s">
        <v>1335</v>
      </c>
      <c r="H22" s="8" t="s">
        <v>1336</v>
      </c>
      <c r="I22" s="8" t="s">
        <v>1339</v>
      </c>
    </row>
    <row r="23" spans="1:9" ht="16.5" thickTop="1" thickBot="1">
      <c r="A23" s="6">
        <v>226169</v>
      </c>
      <c r="B23" s="13" t="s">
        <v>1277</v>
      </c>
      <c r="C23" s="6">
        <v>4149</v>
      </c>
      <c r="D23" s="6" t="s">
        <v>53</v>
      </c>
      <c r="E23" s="6" t="s">
        <v>23</v>
      </c>
      <c r="F23" s="6">
        <v>2</v>
      </c>
      <c r="G23" s="7" t="s">
        <v>1337</v>
      </c>
      <c r="H23" s="8" t="s">
        <v>1338</v>
      </c>
      <c r="I23" s="8" t="s">
        <v>1340</v>
      </c>
    </row>
    <row r="24" spans="1:9" ht="16.5" thickTop="1" thickBot="1">
      <c r="A24" s="6">
        <v>226173</v>
      </c>
      <c r="B24" s="13" t="s">
        <v>1277</v>
      </c>
      <c r="C24" s="6">
        <v>4185</v>
      </c>
      <c r="D24" s="6" t="s">
        <v>1280</v>
      </c>
      <c r="E24" s="6" t="s">
        <v>10</v>
      </c>
      <c r="F24" s="6">
        <v>3</v>
      </c>
      <c r="G24" s="7" t="s">
        <v>1341</v>
      </c>
      <c r="H24" s="8" t="s">
        <v>1342</v>
      </c>
      <c r="I24" s="8" t="s">
        <v>1343</v>
      </c>
    </row>
    <row r="25" spans="1:9" ht="16.5" thickTop="1" thickBot="1">
      <c r="A25" s="6">
        <v>226175</v>
      </c>
      <c r="B25" s="13" t="s">
        <v>1277</v>
      </c>
      <c r="C25" s="6">
        <v>4191</v>
      </c>
      <c r="D25" s="6" t="s">
        <v>1102</v>
      </c>
      <c r="E25" s="6" t="s">
        <v>10</v>
      </c>
      <c r="F25" s="6">
        <v>2</v>
      </c>
      <c r="G25" s="7" t="s">
        <v>1344</v>
      </c>
      <c r="H25" s="8" t="s">
        <v>1348</v>
      </c>
      <c r="I25" s="8" t="s">
        <v>1349</v>
      </c>
    </row>
    <row r="26" spans="1:9" ht="16.5" thickTop="1" thickBot="1">
      <c r="A26" s="6">
        <v>226185</v>
      </c>
      <c r="B26" s="13" t="s">
        <v>1277</v>
      </c>
      <c r="C26" s="6">
        <v>4230</v>
      </c>
      <c r="D26" s="6" t="s">
        <v>56</v>
      </c>
      <c r="E26" s="6" t="s">
        <v>23</v>
      </c>
      <c r="F26" s="6">
        <v>4</v>
      </c>
      <c r="G26" s="7" t="s">
        <v>1347</v>
      </c>
      <c r="H26" s="8" t="s">
        <v>1350</v>
      </c>
      <c r="I26" s="8" t="s">
        <v>1351</v>
      </c>
    </row>
    <row r="27" spans="1:9" ht="16.5" thickTop="1" thickBot="1">
      <c r="A27" s="6">
        <v>226187</v>
      </c>
      <c r="B27" s="13" t="s">
        <v>1277</v>
      </c>
      <c r="C27" s="6">
        <v>4244</v>
      </c>
      <c r="D27" s="6" t="s">
        <v>1281</v>
      </c>
      <c r="E27" s="6" t="s">
        <v>23</v>
      </c>
      <c r="F27" s="6">
        <v>1</v>
      </c>
      <c r="G27" s="7" t="s">
        <v>1345</v>
      </c>
      <c r="H27" s="8">
        <v>41030</v>
      </c>
      <c r="I27" s="8" t="s">
        <v>1352</v>
      </c>
    </row>
    <row r="28" spans="1:9" ht="16.5" thickTop="1" thickBot="1">
      <c r="A28" s="6">
        <v>226195</v>
      </c>
      <c r="B28" s="13" t="s">
        <v>1277</v>
      </c>
      <c r="C28" s="6">
        <v>4299</v>
      </c>
      <c r="D28" s="6" t="s">
        <v>326</v>
      </c>
      <c r="E28" s="6" t="s">
        <v>10</v>
      </c>
      <c r="F28" s="6">
        <v>7</v>
      </c>
      <c r="G28" s="7" t="s">
        <v>1353</v>
      </c>
      <c r="H28" s="8" t="s">
        <v>1354</v>
      </c>
      <c r="I28" s="8" t="s">
        <v>1355</v>
      </c>
    </row>
    <row r="29" spans="1:9" ht="16.5" thickTop="1" thickBot="1">
      <c r="A29" s="6">
        <v>226199</v>
      </c>
      <c r="B29" s="13" t="s">
        <v>1277</v>
      </c>
      <c r="C29" s="6">
        <v>4313</v>
      </c>
      <c r="D29" s="6" t="s">
        <v>1282</v>
      </c>
      <c r="E29" s="6" t="s">
        <v>23</v>
      </c>
      <c r="F29" s="6">
        <v>2</v>
      </c>
      <c r="G29" s="7" t="s">
        <v>1356</v>
      </c>
      <c r="H29" s="8" t="s">
        <v>1357</v>
      </c>
      <c r="I29" s="8" t="s">
        <v>1358</v>
      </c>
    </row>
    <row r="30" spans="1:9" ht="16.5" thickTop="1" thickBot="1">
      <c r="A30" s="6">
        <v>226254</v>
      </c>
      <c r="B30" s="6" t="s">
        <v>1277</v>
      </c>
      <c r="C30" s="6">
        <v>2419</v>
      </c>
      <c r="D30" s="6" t="s">
        <v>749</v>
      </c>
      <c r="E30" s="6" t="s">
        <v>10</v>
      </c>
      <c r="F30" s="6">
        <v>2</v>
      </c>
      <c r="G30" s="7" t="s">
        <v>1346</v>
      </c>
      <c r="H30" s="7" t="s">
        <v>1359</v>
      </c>
      <c r="I30" s="12" t="s">
        <v>1360</v>
      </c>
    </row>
    <row r="31" spans="1:9" ht="16.5" thickTop="1" thickBot="1">
      <c r="A31" s="6">
        <v>226265</v>
      </c>
      <c r="B31" s="6" t="s">
        <v>1277</v>
      </c>
      <c r="C31" s="6">
        <v>4159</v>
      </c>
      <c r="D31" s="6" t="s">
        <v>1140</v>
      </c>
      <c r="E31" s="6" t="s">
        <v>23</v>
      </c>
      <c r="F31" s="6">
        <v>3</v>
      </c>
      <c r="G31" s="7" t="s">
        <v>1361</v>
      </c>
      <c r="H31" s="7" t="s">
        <v>1362</v>
      </c>
      <c r="I31" s="12" t="s">
        <v>1363</v>
      </c>
    </row>
    <row r="32" spans="1:9" ht="16.5" thickTop="1" thickBot="1">
      <c r="A32" s="6">
        <v>226268</v>
      </c>
      <c r="B32" s="6" t="s">
        <v>1277</v>
      </c>
      <c r="C32" s="6">
        <v>4186</v>
      </c>
      <c r="D32" s="6" t="s">
        <v>1283</v>
      </c>
      <c r="E32" s="6" t="s">
        <v>10</v>
      </c>
      <c r="F32" s="6">
        <v>2</v>
      </c>
      <c r="G32" s="7" t="s">
        <v>1364</v>
      </c>
      <c r="H32" s="7" t="s">
        <v>1365</v>
      </c>
      <c r="I32" s="12" t="s">
        <v>1366</v>
      </c>
    </row>
    <row r="33" spans="1:9" ht="16.5" thickTop="1" thickBot="1">
      <c r="A33" s="6">
        <v>226275</v>
      </c>
      <c r="B33" s="6" t="s">
        <v>1277</v>
      </c>
      <c r="C33" s="6">
        <v>4346</v>
      </c>
      <c r="D33" s="6" t="s">
        <v>333</v>
      </c>
      <c r="E33" s="6" t="s">
        <v>23</v>
      </c>
      <c r="F33" s="6">
        <v>1</v>
      </c>
      <c r="G33" s="7" t="s">
        <v>1367</v>
      </c>
      <c r="H33" s="18">
        <v>41037</v>
      </c>
      <c r="I33" s="12" t="s">
        <v>1368</v>
      </c>
    </row>
    <row r="34" spans="1:9" ht="16.5" thickTop="1" thickBot="1">
      <c r="A34" s="6">
        <v>226282</v>
      </c>
      <c r="B34" s="6" t="s">
        <v>1277</v>
      </c>
      <c r="C34" s="6">
        <v>4434</v>
      </c>
      <c r="D34" s="6" t="s">
        <v>66</v>
      </c>
      <c r="E34" s="6" t="s">
        <v>23</v>
      </c>
      <c r="F34" s="6">
        <v>2</v>
      </c>
      <c r="G34" s="7" t="s">
        <v>1369</v>
      </c>
      <c r="H34" s="7" t="s">
        <v>1370</v>
      </c>
      <c r="I34" s="12" t="s">
        <v>1371</v>
      </c>
    </row>
    <row r="35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-0.499984740745262"/>
  </sheetPr>
  <dimension ref="A1:I98"/>
  <sheetViews>
    <sheetView showGridLines="0" topLeftCell="C1" workbookViewId="0">
      <pane ySplit="1" topLeftCell="A89" activePane="bottomLeft" state="frozen"/>
      <selection pane="bottomLeft" activeCell="I4" sqref="I4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35.625" customWidth="1"/>
    <col min="5" max="5" width="16.125" customWidth="1"/>
    <col min="6" max="6" width="19.25" customWidth="1"/>
    <col min="7" max="7" width="44.125" bestFit="1" customWidth="1"/>
    <col min="8" max="8" width="77.875" style="5" customWidth="1"/>
    <col min="9" max="9" width="16.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226251</v>
      </c>
      <c r="B2" s="13" t="s">
        <v>1378</v>
      </c>
      <c r="C2" s="6">
        <v>2381</v>
      </c>
      <c r="D2" s="6" t="s">
        <v>1379</v>
      </c>
      <c r="E2" s="6" t="s">
        <v>23</v>
      </c>
      <c r="F2" s="6">
        <v>3</v>
      </c>
      <c r="G2" s="7" t="s">
        <v>1435</v>
      </c>
      <c r="H2" s="8" t="s">
        <v>1442</v>
      </c>
      <c r="I2" s="8" t="s">
        <v>1449</v>
      </c>
    </row>
    <row r="3" spans="1:9" ht="16.5" thickTop="1" thickBot="1">
      <c r="A3" s="6">
        <v>226255</v>
      </c>
      <c r="B3" s="13" t="s">
        <v>1378</v>
      </c>
      <c r="C3" s="6">
        <v>2458</v>
      </c>
      <c r="D3" s="6" t="s">
        <v>1380</v>
      </c>
      <c r="E3" s="6" t="s">
        <v>23</v>
      </c>
      <c r="F3" s="6">
        <v>2</v>
      </c>
      <c r="G3" s="7" t="s">
        <v>1436</v>
      </c>
      <c r="H3" s="8" t="s">
        <v>1447</v>
      </c>
      <c r="I3" s="8" t="s">
        <v>1448</v>
      </c>
    </row>
    <row r="4" spans="1:9" ht="16.5" thickTop="1" thickBot="1">
      <c r="A4" s="6">
        <v>226256</v>
      </c>
      <c r="B4" s="13" t="s">
        <v>1378</v>
      </c>
      <c r="C4" s="6">
        <v>4033</v>
      </c>
      <c r="D4" s="6" t="s">
        <v>1381</v>
      </c>
      <c r="E4" s="6" t="s">
        <v>23</v>
      </c>
      <c r="F4" s="6">
        <v>5</v>
      </c>
      <c r="G4" s="7" t="s">
        <v>1625</v>
      </c>
      <c r="H4" s="8" t="s">
        <v>1626</v>
      </c>
      <c r="I4" s="8" t="s">
        <v>1717</v>
      </c>
    </row>
    <row r="5" spans="1:9" ht="16.5" thickTop="1" thickBot="1">
      <c r="A5" s="6">
        <v>226259</v>
      </c>
      <c r="B5" s="13" t="s">
        <v>1378</v>
      </c>
      <c r="C5" s="6">
        <v>4090</v>
      </c>
      <c r="D5" s="6" t="s">
        <v>1382</v>
      </c>
      <c r="E5" s="6" t="s">
        <v>23</v>
      </c>
      <c r="F5" s="6">
        <v>2</v>
      </c>
      <c r="G5" s="7" t="s">
        <v>1450</v>
      </c>
      <c r="H5" s="8" t="s">
        <v>1454</v>
      </c>
      <c r="I5" s="8" t="s">
        <v>1455</v>
      </c>
    </row>
    <row r="6" spans="1:9" ht="16.5" thickTop="1" thickBot="1">
      <c r="A6" s="6">
        <v>226262</v>
      </c>
      <c r="B6" s="13" t="s">
        <v>1378</v>
      </c>
      <c r="C6" s="6">
        <v>4118</v>
      </c>
      <c r="D6" s="6" t="s">
        <v>771</v>
      </c>
      <c r="E6" s="6" t="s">
        <v>23</v>
      </c>
      <c r="F6" s="6">
        <v>3</v>
      </c>
      <c r="G6" s="7" t="s">
        <v>1456</v>
      </c>
      <c r="H6" s="8" t="s">
        <v>1460</v>
      </c>
      <c r="I6" s="8" t="s">
        <v>1457</v>
      </c>
    </row>
    <row r="7" spans="1:9" ht="16.5" thickTop="1" thickBot="1">
      <c r="A7" s="6">
        <v>226263</v>
      </c>
      <c r="B7" s="13" t="s">
        <v>1378</v>
      </c>
      <c r="C7" s="6">
        <v>4123</v>
      </c>
      <c r="D7" s="6" t="s">
        <v>433</v>
      </c>
      <c r="E7" s="6" t="s">
        <v>23</v>
      </c>
      <c r="F7" s="6">
        <v>3</v>
      </c>
      <c r="G7" s="7" t="s">
        <v>1461</v>
      </c>
      <c r="H7" s="8" t="s">
        <v>1462</v>
      </c>
      <c r="I7" s="8" t="s">
        <v>1463</v>
      </c>
    </row>
    <row r="8" spans="1:9" ht="16.5" thickTop="1" thickBot="1">
      <c r="A8" s="6">
        <v>226264</v>
      </c>
      <c r="B8" s="13" t="s">
        <v>1378</v>
      </c>
      <c r="C8" s="6">
        <v>4128</v>
      </c>
      <c r="D8" s="6" t="s">
        <v>1383</v>
      </c>
      <c r="E8" s="6" t="s">
        <v>23</v>
      </c>
      <c r="F8" s="6">
        <v>2</v>
      </c>
      <c r="G8" s="7" t="s">
        <v>1464</v>
      </c>
      <c r="H8" s="8" t="s">
        <v>1465</v>
      </c>
      <c r="I8" s="8" t="s">
        <v>1466</v>
      </c>
    </row>
    <row r="9" spans="1:9" ht="16.5" thickTop="1" thickBot="1">
      <c r="A9" s="6">
        <v>226270</v>
      </c>
      <c r="B9" s="13" t="s">
        <v>1378</v>
      </c>
      <c r="C9" s="6">
        <v>4207</v>
      </c>
      <c r="D9" s="6" t="s">
        <v>810</v>
      </c>
      <c r="E9" s="6" t="s">
        <v>23</v>
      </c>
      <c r="F9" s="6">
        <v>2</v>
      </c>
      <c r="G9" s="7" t="s">
        <v>1467</v>
      </c>
      <c r="H9" s="8" t="s">
        <v>1468</v>
      </c>
      <c r="I9" s="8" t="s">
        <v>1469</v>
      </c>
    </row>
    <row r="10" spans="1:9" ht="16.5" thickTop="1" thickBot="1">
      <c r="A10" s="6">
        <v>226273</v>
      </c>
      <c r="B10" s="13" t="s">
        <v>1378</v>
      </c>
      <c r="C10" s="6">
        <v>4282</v>
      </c>
      <c r="D10" s="6" t="s">
        <v>1384</v>
      </c>
      <c r="E10" s="6" t="s">
        <v>23</v>
      </c>
      <c r="F10" s="6">
        <v>3</v>
      </c>
      <c r="G10" s="7" t="s">
        <v>1470</v>
      </c>
      <c r="H10" s="8" t="s">
        <v>1473</v>
      </c>
      <c r="I10" s="8" t="s">
        <v>1458</v>
      </c>
    </row>
    <row r="11" spans="1:9" ht="16.5" thickTop="1" thickBot="1">
      <c r="A11" s="6">
        <v>226276</v>
      </c>
      <c r="B11" s="13" t="s">
        <v>1378</v>
      </c>
      <c r="C11" s="6">
        <v>4350</v>
      </c>
      <c r="D11" s="6" t="s">
        <v>474</v>
      </c>
      <c r="E11" s="6" t="s">
        <v>23</v>
      </c>
      <c r="F11" s="6">
        <v>2</v>
      </c>
      <c r="G11" s="7" t="s">
        <v>1474</v>
      </c>
      <c r="H11" s="8" t="s">
        <v>1475</v>
      </c>
      <c r="I11" s="8" t="s">
        <v>1476</v>
      </c>
    </row>
    <row r="12" spans="1:9" ht="16.5" thickTop="1" thickBot="1">
      <c r="A12" s="6">
        <v>226277</v>
      </c>
      <c r="B12" s="13" t="s">
        <v>1378</v>
      </c>
      <c r="C12" s="6">
        <v>4361</v>
      </c>
      <c r="D12" s="6" t="s">
        <v>781</v>
      </c>
      <c r="E12" s="6" t="s">
        <v>23</v>
      </c>
      <c r="F12" s="6">
        <v>2</v>
      </c>
      <c r="G12" s="7" t="s">
        <v>1444</v>
      </c>
      <c r="H12" s="8" t="s">
        <v>1477</v>
      </c>
      <c r="I12" s="8" t="s">
        <v>1478</v>
      </c>
    </row>
    <row r="13" spans="1:9" ht="16.5" thickTop="1" thickBot="1">
      <c r="A13" s="6">
        <v>226278</v>
      </c>
      <c r="B13" s="13" t="s">
        <v>1378</v>
      </c>
      <c r="C13" s="6">
        <v>4380</v>
      </c>
      <c r="D13" s="6" t="s">
        <v>257</v>
      </c>
      <c r="E13" s="6" t="s">
        <v>23</v>
      </c>
      <c r="F13" s="6">
        <v>2</v>
      </c>
      <c r="G13" s="7" t="s">
        <v>1479</v>
      </c>
      <c r="H13" s="8" t="s">
        <v>1480</v>
      </c>
      <c r="I13" s="8" t="s">
        <v>1481</v>
      </c>
    </row>
    <row r="14" spans="1:9" ht="16.5" thickTop="1" thickBot="1">
      <c r="A14" s="6">
        <v>226280</v>
      </c>
      <c r="B14" s="13" t="s">
        <v>1378</v>
      </c>
      <c r="C14" s="6">
        <v>4385</v>
      </c>
      <c r="D14" s="6" t="s">
        <v>1385</v>
      </c>
      <c r="E14" s="6" t="s">
        <v>23</v>
      </c>
      <c r="F14" s="6">
        <v>1</v>
      </c>
      <c r="G14" s="7" t="s">
        <v>1451</v>
      </c>
      <c r="H14" s="8">
        <v>41082</v>
      </c>
      <c r="I14" s="8" t="s">
        <v>1482</v>
      </c>
    </row>
    <row r="15" spans="1:9" ht="16.5" thickTop="1" thickBot="1">
      <c r="A15" s="6">
        <v>226281</v>
      </c>
      <c r="B15" s="13" t="s">
        <v>1378</v>
      </c>
      <c r="C15" s="6">
        <v>4412</v>
      </c>
      <c r="D15" s="6" t="s">
        <v>1386</v>
      </c>
      <c r="E15" s="6" t="s">
        <v>23</v>
      </c>
      <c r="F15" s="6">
        <v>2</v>
      </c>
      <c r="G15" s="7" t="s">
        <v>1484</v>
      </c>
      <c r="H15" s="8" t="s">
        <v>1485</v>
      </c>
      <c r="I15" s="8" t="s">
        <v>1486</v>
      </c>
    </row>
    <row r="16" spans="1:9" ht="16.5" thickTop="1" thickBot="1">
      <c r="A16" s="6">
        <v>226286</v>
      </c>
      <c r="B16" s="13" t="s">
        <v>1378</v>
      </c>
      <c r="C16" s="6">
        <v>4476</v>
      </c>
      <c r="D16" s="6" t="s">
        <v>1387</v>
      </c>
      <c r="E16" s="6" t="s">
        <v>23</v>
      </c>
      <c r="F16" s="6">
        <v>3</v>
      </c>
      <c r="G16" s="7" t="s">
        <v>1487</v>
      </c>
      <c r="H16" s="8" t="s">
        <v>1490</v>
      </c>
      <c r="I16" s="8" t="s">
        <v>1491</v>
      </c>
    </row>
    <row r="17" spans="1:9" ht="16.5" thickTop="1" thickBot="1">
      <c r="A17" s="6">
        <v>226287</v>
      </c>
      <c r="B17" s="13" t="s">
        <v>1378</v>
      </c>
      <c r="C17" s="6">
        <v>4486</v>
      </c>
      <c r="D17" s="6" t="s">
        <v>1388</v>
      </c>
      <c r="E17" s="6" t="s">
        <v>23</v>
      </c>
      <c r="F17" s="6">
        <v>1</v>
      </c>
      <c r="G17" s="7" t="s">
        <v>1492</v>
      </c>
      <c r="H17" s="8">
        <v>41079</v>
      </c>
      <c r="I17" s="8" t="s">
        <v>1493</v>
      </c>
    </row>
    <row r="18" spans="1:9" ht="16.5" thickTop="1" thickBot="1">
      <c r="A18" s="6">
        <v>226289</v>
      </c>
      <c r="B18" s="13" t="s">
        <v>1378</v>
      </c>
      <c r="C18" s="6">
        <v>2088</v>
      </c>
      <c r="D18" s="6" t="s">
        <v>1389</v>
      </c>
      <c r="E18" s="6" t="s">
        <v>23</v>
      </c>
      <c r="F18" s="6">
        <v>3</v>
      </c>
      <c r="G18" s="7" t="s">
        <v>1437</v>
      </c>
      <c r="H18" s="8" t="s">
        <v>1494</v>
      </c>
      <c r="I18" s="8" t="s">
        <v>1495</v>
      </c>
    </row>
    <row r="19" spans="1:9" ht="16.5" thickTop="1" thickBot="1">
      <c r="A19" s="6">
        <v>226291</v>
      </c>
      <c r="B19" s="13" t="s">
        <v>1378</v>
      </c>
      <c r="C19" s="6">
        <v>4139</v>
      </c>
      <c r="D19" s="6" t="s">
        <v>1390</v>
      </c>
      <c r="E19" s="6" t="s">
        <v>23</v>
      </c>
      <c r="F19" s="6">
        <v>3</v>
      </c>
      <c r="G19" s="7" t="s">
        <v>1438</v>
      </c>
      <c r="H19" s="8" t="s">
        <v>1496</v>
      </c>
      <c r="I19" s="8" t="s">
        <v>1497</v>
      </c>
    </row>
    <row r="20" spans="1:9" ht="16.5" thickTop="1" thickBot="1">
      <c r="A20" s="6">
        <v>226294</v>
      </c>
      <c r="B20" s="13" t="s">
        <v>1378</v>
      </c>
      <c r="C20" s="6">
        <v>2008</v>
      </c>
      <c r="D20" s="6" t="s">
        <v>566</v>
      </c>
      <c r="E20" s="6" t="s">
        <v>23</v>
      </c>
      <c r="F20" s="6">
        <v>3</v>
      </c>
      <c r="G20" s="7" t="s">
        <v>1439</v>
      </c>
      <c r="H20" s="8" t="s">
        <v>1499</v>
      </c>
      <c r="I20" s="8" t="s">
        <v>1498</v>
      </c>
    </row>
    <row r="21" spans="1:9" ht="16.5" thickTop="1" thickBot="1">
      <c r="A21" s="6">
        <v>226302</v>
      </c>
      <c r="B21" s="13" t="s">
        <v>1378</v>
      </c>
      <c r="C21" s="6">
        <v>2038</v>
      </c>
      <c r="D21" s="6" t="s">
        <v>1391</v>
      </c>
      <c r="E21" s="6" t="s">
        <v>23</v>
      </c>
      <c r="F21" s="6">
        <v>4</v>
      </c>
      <c r="G21" s="7" t="s">
        <v>1440</v>
      </c>
      <c r="H21" s="8" t="s">
        <v>1502</v>
      </c>
      <c r="I21" s="8" t="s">
        <v>1503</v>
      </c>
    </row>
    <row r="22" spans="1:9" ht="16.5" thickTop="1" thickBot="1">
      <c r="A22" s="6">
        <v>226304</v>
      </c>
      <c r="B22" s="13" t="s">
        <v>1378</v>
      </c>
      <c r="C22" s="6">
        <v>2041</v>
      </c>
      <c r="D22" s="6" t="s">
        <v>1392</v>
      </c>
      <c r="E22" s="6" t="s">
        <v>23</v>
      </c>
      <c r="F22" s="6">
        <v>3</v>
      </c>
      <c r="G22" s="7" t="s">
        <v>1441</v>
      </c>
      <c r="H22" s="8" t="s">
        <v>1504</v>
      </c>
      <c r="I22" s="8" t="s">
        <v>1505</v>
      </c>
    </row>
    <row r="23" spans="1:9" ht="16.5" thickTop="1" thickBot="1">
      <c r="A23" s="6">
        <v>226306</v>
      </c>
      <c r="B23" s="13" t="s">
        <v>1378</v>
      </c>
      <c r="C23" s="6">
        <v>2047</v>
      </c>
      <c r="D23" s="6" t="s">
        <v>1393</v>
      </c>
      <c r="E23" s="6" t="s">
        <v>23</v>
      </c>
      <c r="F23" s="6">
        <v>2</v>
      </c>
      <c r="G23" s="7" t="s">
        <v>1506</v>
      </c>
      <c r="H23" s="8" t="s">
        <v>1507</v>
      </c>
      <c r="I23" s="8" t="s">
        <v>1508</v>
      </c>
    </row>
    <row r="24" spans="1:9" ht="16.5" thickTop="1" thickBot="1">
      <c r="A24" s="6">
        <v>226307</v>
      </c>
      <c r="B24" s="13" t="s">
        <v>1378</v>
      </c>
      <c r="C24" s="6">
        <v>2048</v>
      </c>
      <c r="D24" s="6" t="s">
        <v>1394</v>
      </c>
      <c r="E24" s="6" t="s">
        <v>23</v>
      </c>
      <c r="F24" s="6">
        <v>4</v>
      </c>
      <c r="G24" s="7" t="s">
        <v>1452</v>
      </c>
      <c r="H24" s="8" t="s">
        <v>1509</v>
      </c>
      <c r="I24" s="8" t="s">
        <v>1510</v>
      </c>
    </row>
    <row r="25" spans="1:9" ht="16.5" thickTop="1" thickBot="1">
      <c r="A25" s="6">
        <v>226308</v>
      </c>
      <c r="B25" s="13" t="s">
        <v>1378</v>
      </c>
      <c r="C25" s="6">
        <v>2065</v>
      </c>
      <c r="D25" s="6" t="s">
        <v>342</v>
      </c>
      <c r="E25" s="6" t="s">
        <v>23</v>
      </c>
      <c r="F25" s="6">
        <v>3</v>
      </c>
      <c r="G25" s="7" t="s">
        <v>1511</v>
      </c>
      <c r="H25" s="8" t="s">
        <v>1512</v>
      </c>
      <c r="I25" s="8" t="s">
        <v>1513</v>
      </c>
    </row>
    <row r="26" spans="1:9" ht="16.5" thickTop="1" thickBot="1">
      <c r="A26" s="6">
        <v>226309</v>
      </c>
      <c r="B26" s="13" t="s">
        <v>1378</v>
      </c>
      <c r="C26" s="6">
        <v>2069</v>
      </c>
      <c r="D26" s="6" t="s">
        <v>1395</v>
      </c>
      <c r="E26" s="6" t="s">
        <v>23</v>
      </c>
      <c r="F26" s="6">
        <v>4</v>
      </c>
      <c r="G26" s="7" t="s">
        <v>1488</v>
      </c>
      <c r="H26" s="8" t="s">
        <v>1514</v>
      </c>
      <c r="I26" s="8" t="s">
        <v>1459</v>
      </c>
    </row>
    <row r="27" spans="1:9" ht="16.5" thickTop="1" thickBot="1">
      <c r="A27" s="6">
        <v>226312</v>
      </c>
      <c r="B27" s="13" t="s">
        <v>1378</v>
      </c>
      <c r="C27" s="6">
        <v>2073</v>
      </c>
      <c r="D27" s="6" t="s">
        <v>752</v>
      </c>
      <c r="E27" s="6" t="s">
        <v>23</v>
      </c>
      <c r="F27" s="6">
        <v>9</v>
      </c>
      <c r="G27" s="7" t="s">
        <v>1515</v>
      </c>
      <c r="H27" s="8" t="s">
        <v>1516</v>
      </c>
      <c r="I27" s="8" t="s">
        <v>1718</v>
      </c>
    </row>
    <row r="28" spans="1:9" ht="16.5" thickTop="1" thickBot="1">
      <c r="A28" s="6">
        <v>226313</v>
      </c>
      <c r="B28" s="13" t="s">
        <v>1378</v>
      </c>
      <c r="C28" s="6">
        <v>2084</v>
      </c>
      <c r="D28" s="6" t="s">
        <v>1396</v>
      </c>
      <c r="E28" s="6" t="s">
        <v>23</v>
      </c>
      <c r="F28" s="6">
        <v>4</v>
      </c>
      <c r="G28" s="7" t="s">
        <v>1517</v>
      </c>
      <c r="H28" s="8" t="s">
        <v>1518</v>
      </c>
      <c r="I28" s="8" t="s">
        <v>1519</v>
      </c>
    </row>
    <row r="29" spans="1:9" ht="16.5" thickTop="1" thickBot="1">
      <c r="A29" s="6">
        <v>226314</v>
      </c>
      <c r="B29" s="13" t="s">
        <v>1378</v>
      </c>
      <c r="C29" s="6">
        <v>2094</v>
      </c>
      <c r="D29" s="6" t="s">
        <v>1397</v>
      </c>
      <c r="E29" s="6" t="s">
        <v>23</v>
      </c>
      <c r="F29" s="6">
        <v>2</v>
      </c>
      <c r="G29" s="7" t="s">
        <v>1520</v>
      </c>
      <c r="H29" s="8" t="s">
        <v>1521</v>
      </c>
      <c r="I29" s="8" t="s">
        <v>1549</v>
      </c>
    </row>
    <row r="30" spans="1:9" ht="16.5" thickTop="1" thickBot="1">
      <c r="A30" s="6">
        <v>226317</v>
      </c>
      <c r="B30" s="6" t="s">
        <v>1378</v>
      </c>
      <c r="C30" s="6">
        <v>2109</v>
      </c>
      <c r="D30" s="6" t="s">
        <v>1211</v>
      </c>
      <c r="E30" s="6" t="s">
        <v>23</v>
      </c>
      <c r="F30" s="6">
        <v>3</v>
      </c>
      <c r="G30" s="7" t="s">
        <v>1443</v>
      </c>
      <c r="H30" s="7" t="s">
        <v>1522</v>
      </c>
      <c r="I30" s="12" t="s">
        <v>1523</v>
      </c>
    </row>
    <row r="31" spans="1:9" ht="16.5" thickTop="1" thickBot="1">
      <c r="A31" s="6">
        <v>226318</v>
      </c>
      <c r="B31" s="6" t="s">
        <v>1378</v>
      </c>
      <c r="C31" s="6">
        <v>2109</v>
      </c>
      <c r="D31" s="6" t="s">
        <v>1211</v>
      </c>
      <c r="E31" s="6" t="s">
        <v>10</v>
      </c>
      <c r="F31" s="6">
        <v>6</v>
      </c>
      <c r="G31" s="7" t="s">
        <v>1524</v>
      </c>
      <c r="H31" s="12" t="s">
        <v>1525</v>
      </c>
      <c r="I31" s="12" t="s">
        <v>1526</v>
      </c>
    </row>
    <row r="32" spans="1:9" ht="16.5" thickTop="1" thickBot="1">
      <c r="A32" s="6">
        <v>226321</v>
      </c>
      <c r="B32" s="6" t="s">
        <v>1378</v>
      </c>
      <c r="C32" s="6">
        <v>2133</v>
      </c>
      <c r="D32" s="6" t="s">
        <v>29</v>
      </c>
      <c r="E32" s="6" t="s">
        <v>23</v>
      </c>
      <c r="F32" s="6">
        <v>2</v>
      </c>
      <c r="G32" s="7" t="s">
        <v>1527</v>
      </c>
      <c r="H32" s="7" t="s">
        <v>1528</v>
      </c>
      <c r="I32" s="12" t="s">
        <v>1529</v>
      </c>
    </row>
    <row r="33" spans="1:9" ht="16.5" thickTop="1" thickBot="1">
      <c r="A33" s="6">
        <v>226322</v>
      </c>
      <c r="B33" s="6" t="s">
        <v>1378</v>
      </c>
      <c r="C33" s="6">
        <v>2135</v>
      </c>
      <c r="D33" s="6" t="s">
        <v>1398</v>
      </c>
      <c r="E33" s="6" t="s">
        <v>23</v>
      </c>
      <c r="F33" s="6">
        <v>6</v>
      </c>
      <c r="G33" s="7" t="s">
        <v>1530</v>
      </c>
      <c r="H33" s="18" t="s">
        <v>1531</v>
      </c>
      <c r="I33" s="12" t="s">
        <v>1719</v>
      </c>
    </row>
    <row r="34" spans="1:9" ht="16.5" thickTop="1" thickBot="1">
      <c r="A34" s="6">
        <v>226323</v>
      </c>
      <c r="B34" s="6" t="s">
        <v>1378</v>
      </c>
      <c r="C34" s="6">
        <v>2137</v>
      </c>
      <c r="D34" s="6" t="s">
        <v>754</v>
      </c>
      <c r="E34" s="6" t="s">
        <v>23</v>
      </c>
      <c r="F34" s="6">
        <v>3</v>
      </c>
      <c r="G34" s="7" t="s">
        <v>1532</v>
      </c>
      <c r="H34" s="7" t="s">
        <v>1533</v>
      </c>
      <c r="I34" s="12" t="s">
        <v>1534</v>
      </c>
    </row>
    <row r="35" spans="1:9" ht="16.5" thickTop="1" thickBot="1">
      <c r="A35" s="6">
        <v>226327</v>
      </c>
      <c r="B35" s="6" t="s">
        <v>1378</v>
      </c>
      <c r="C35" s="6">
        <v>2168</v>
      </c>
      <c r="D35" s="6" t="s">
        <v>1399</v>
      </c>
      <c r="E35" s="6" t="s">
        <v>23</v>
      </c>
      <c r="F35" s="6">
        <v>3</v>
      </c>
      <c r="G35" s="7" t="s">
        <v>1535</v>
      </c>
      <c r="H35" s="7" t="s">
        <v>1536</v>
      </c>
      <c r="I35" s="12" t="s">
        <v>1537</v>
      </c>
    </row>
    <row r="36" spans="1:9" ht="16.5" thickTop="1" thickBot="1">
      <c r="A36" s="6">
        <v>226334</v>
      </c>
      <c r="B36" s="6" t="s">
        <v>1378</v>
      </c>
      <c r="C36" s="6">
        <v>2222</v>
      </c>
      <c r="D36" s="6" t="s">
        <v>1400</v>
      </c>
      <c r="E36" s="6" t="s">
        <v>23</v>
      </c>
      <c r="F36" s="6">
        <v>4</v>
      </c>
      <c r="G36" s="7" t="s">
        <v>1538</v>
      </c>
      <c r="H36" s="7" t="s">
        <v>1539</v>
      </c>
      <c r="I36" s="12" t="s">
        <v>1540</v>
      </c>
    </row>
    <row r="37" spans="1:9" ht="16.5" thickTop="1" thickBot="1">
      <c r="A37" s="6">
        <v>226338</v>
      </c>
      <c r="B37" s="6" t="s">
        <v>1378</v>
      </c>
      <c r="C37" s="6">
        <v>2269</v>
      </c>
      <c r="D37" s="6" t="s">
        <v>380</v>
      </c>
      <c r="E37" s="6" t="s">
        <v>23</v>
      </c>
      <c r="F37" s="6">
        <v>2</v>
      </c>
      <c r="G37" s="7" t="s">
        <v>1472</v>
      </c>
      <c r="H37" s="7" t="s">
        <v>1542</v>
      </c>
      <c r="I37" s="12" t="s">
        <v>1543</v>
      </c>
    </row>
    <row r="38" spans="1:9" ht="16.5" thickTop="1" thickBot="1">
      <c r="A38" s="6">
        <v>226339</v>
      </c>
      <c r="B38" s="6" t="s">
        <v>1378</v>
      </c>
      <c r="C38" s="6">
        <v>2274</v>
      </c>
      <c r="D38" s="6" t="s">
        <v>786</v>
      </c>
      <c r="E38" s="6" t="s">
        <v>23</v>
      </c>
      <c r="F38" s="6">
        <v>2</v>
      </c>
      <c r="G38" s="7" t="s">
        <v>1501</v>
      </c>
      <c r="H38" s="7" t="s">
        <v>1544</v>
      </c>
      <c r="I38" s="12" t="s">
        <v>1545</v>
      </c>
    </row>
    <row r="39" spans="1:9" ht="16.5" thickTop="1" thickBot="1">
      <c r="A39" s="6">
        <v>226340</v>
      </c>
      <c r="B39" s="6" t="s">
        <v>1378</v>
      </c>
      <c r="C39" s="6">
        <v>2274</v>
      </c>
      <c r="D39" s="6" t="s">
        <v>786</v>
      </c>
      <c r="E39" s="6" t="s">
        <v>10</v>
      </c>
      <c r="F39" s="6">
        <v>3</v>
      </c>
      <c r="G39" s="7" t="s">
        <v>1446</v>
      </c>
      <c r="H39" s="12" t="s">
        <v>1547</v>
      </c>
      <c r="I39" s="12" t="s">
        <v>1548</v>
      </c>
    </row>
    <row r="40" spans="1:9" ht="16.5" thickTop="1" thickBot="1">
      <c r="A40" s="6">
        <v>226341</v>
      </c>
      <c r="B40" s="6" t="s">
        <v>1378</v>
      </c>
      <c r="C40" s="6">
        <v>2280</v>
      </c>
      <c r="D40" s="6" t="s">
        <v>1401</v>
      </c>
      <c r="E40" s="6" t="s">
        <v>23</v>
      </c>
      <c r="F40" s="6">
        <v>3</v>
      </c>
      <c r="G40" s="7" t="s">
        <v>1550</v>
      </c>
      <c r="H40" s="7" t="s">
        <v>1551</v>
      </c>
      <c r="I40" s="12" t="s">
        <v>1552</v>
      </c>
    </row>
    <row r="41" spans="1:9" ht="16.5" thickTop="1" thickBot="1">
      <c r="A41" s="6">
        <v>226343</v>
      </c>
      <c r="B41" s="6" t="s">
        <v>1378</v>
      </c>
      <c r="C41" s="6">
        <v>2283</v>
      </c>
      <c r="D41" s="6" t="s">
        <v>388</v>
      </c>
      <c r="E41" s="6" t="s">
        <v>23</v>
      </c>
      <c r="F41" s="6">
        <v>9</v>
      </c>
      <c r="G41" s="7" t="s">
        <v>1553</v>
      </c>
      <c r="H41" s="7" t="s">
        <v>1554</v>
      </c>
      <c r="I41" s="12" t="s">
        <v>1720</v>
      </c>
    </row>
    <row r="42" spans="1:9" ht="16.5" thickTop="1" thickBot="1">
      <c r="A42" s="6">
        <v>226344</v>
      </c>
      <c r="B42" s="6" t="s">
        <v>1378</v>
      </c>
      <c r="C42" s="6">
        <v>2286</v>
      </c>
      <c r="D42" s="6" t="s">
        <v>1402</v>
      </c>
      <c r="E42" s="6" t="s">
        <v>23</v>
      </c>
      <c r="F42" s="6">
        <v>2</v>
      </c>
      <c r="G42" s="7" t="s">
        <v>1541</v>
      </c>
      <c r="H42" s="7" t="s">
        <v>1555</v>
      </c>
      <c r="I42" s="12" t="s">
        <v>1556</v>
      </c>
    </row>
    <row r="43" spans="1:9" ht="16.5" thickTop="1" thickBot="1">
      <c r="A43" s="6">
        <v>226345</v>
      </c>
      <c r="B43" s="6" t="s">
        <v>1378</v>
      </c>
      <c r="C43" s="6">
        <v>2296</v>
      </c>
      <c r="D43" s="6" t="s">
        <v>759</v>
      </c>
      <c r="E43" s="6" t="s">
        <v>23</v>
      </c>
      <c r="F43" s="6">
        <v>3</v>
      </c>
      <c r="G43" s="7" t="s">
        <v>1557</v>
      </c>
      <c r="H43" s="7" t="s">
        <v>1558</v>
      </c>
      <c r="I43" s="12" t="s">
        <v>1559</v>
      </c>
    </row>
    <row r="44" spans="1:9" ht="16.5" thickTop="1" thickBot="1">
      <c r="A44" s="6">
        <v>226346</v>
      </c>
      <c r="B44" s="6" t="s">
        <v>1378</v>
      </c>
      <c r="C44" s="6">
        <v>2297</v>
      </c>
      <c r="D44" s="6" t="s">
        <v>548</v>
      </c>
      <c r="E44" s="6" t="s">
        <v>23</v>
      </c>
      <c r="F44" s="6">
        <v>4</v>
      </c>
      <c r="G44" s="7" t="s">
        <v>1560</v>
      </c>
      <c r="H44" s="7" t="s">
        <v>1561</v>
      </c>
      <c r="I44" s="12" t="s">
        <v>1562</v>
      </c>
    </row>
    <row r="45" spans="1:9" ht="16.5" thickTop="1" thickBot="1">
      <c r="A45" s="6">
        <v>226350</v>
      </c>
      <c r="B45" s="6" t="s">
        <v>1378</v>
      </c>
      <c r="C45" s="6">
        <v>2319</v>
      </c>
      <c r="D45" s="6" t="s">
        <v>1403</v>
      </c>
      <c r="E45" s="6" t="s">
        <v>23</v>
      </c>
      <c r="F45" s="6">
        <v>4</v>
      </c>
      <c r="G45" s="7" t="s">
        <v>1563</v>
      </c>
      <c r="H45" s="7" t="s">
        <v>1564</v>
      </c>
      <c r="I45" s="12" t="s">
        <v>1565</v>
      </c>
    </row>
    <row r="46" spans="1:9" ht="16.5" thickTop="1" thickBot="1">
      <c r="A46" s="6">
        <v>226356</v>
      </c>
      <c r="B46" s="6" t="s">
        <v>1378</v>
      </c>
      <c r="C46" s="6">
        <v>2358</v>
      </c>
      <c r="D46" s="6" t="s">
        <v>1404</v>
      </c>
      <c r="E46" s="6" t="s">
        <v>23</v>
      </c>
      <c r="F46" s="6">
        <v>3</v>
      </c>
      <c r="G46" s="7" t="s">
        <v>1566</v>
      </c>
      <c r="H46" s="7" t="s">
        <v>1568</v>
      </c>
      <c r="I46" s="12" t="s">
        <v>1569</v>
      </c>
    </row>
    <row r="47" spans="1:9" ht="16.5" thickTop="1" thickBot="1">
      <c r="A47" s="6">
        <v>226357</v>
      </c>
      <c r="B47" s="6" t="s">
        <v>1378</v>
      </c>
      <c r="C47" s="6">
        <v>2363</v>
      </c>
      <c r="D47" s="6" t="s">
        <v>748</v>
      </c>
      <c r="E47" s="6" t="s">
        <v>10</v>
      </c>
      <c r="F47" s="6">
        <v>2</v>
      </c>
      <c r="G47" s="7" t="s">
        <v>1567</v>
      </c>
      <c r="H47" s="7" t="s">
        <v>1570</v>
      </c>
      <c r="I47" s="12" t="s">
        <v>1571</v>
      </c>
    </row>
    <row r="48" spans="1:9" ht="16.5" thickTop="1" thickBot="1">
      <c r="A48" s="6">
        <v>226358</v>
      </c>
      <c r="B48" s="6" t="s">
        <v>1378</v>
      </c>
      <c r="C48" s="6">
        <v>2368</v>
      </c>
      <c r="D48" s="6" t="s">
        <v>761</v>
      </c>
      <c r="E48" s="6" t="s">
        <v>23</v>
      </c>
      <c r="F48" s="6">
        <v>2</v>
      </c>
      <c r="G48" s="7" t="s">
        <v>1572</v>
      </c>
      <c r="H48" s="7" t="s">
        <v>1573</v>
      </c>
      <c r="I48" s="12" t="s">
        <v>1574</v>
      </c>
    </row>
    <row r="49" spans="1:9" ht="16.5" thickTop="1" thickBot="1">
      <c r="A49" s="6">
        <v>226359</v>
      </c>
      <c r="B49" s="6" t="s">
        <v>1378</v>
      </c>
      <c r="C49" s="6">
        <v>2377</v>
      </c>
      <c r="D49" s="6" t="s">
        <v>1405</v>
      </c>
      <c r="E49" s="6" t="s">
        <v>23</v>
      </c>
      <c r="F49" s="6">
        <v>2</v>
      </c>
      <c r="G49" s="7" t="s">
        <v>1575</v>
      </c>
      <c r="H49" s="7" t="s">
        <v>1576</v>
      </c>
      <c r="I49" s="12" t="s">
        <v>1577</v>
      </c>
    </row>
    <row r="50" spans="1:9" ht="16.5" thickTop="1" thickBot="1">
      <c r="A50" s="6">
        <v>226360</v>
      </c>
      <c r="B50" s="6" t="s">
        <v>1378</v>
      </c>
      <c r="C50" s="6">
        <v>2380</v>
      </c>
      <c r="D50" s="6" t="s">
        <v>164</v>
      </c>
      <c r="E50" s="6" t="s">
        <v>23</v>
      </c>
      <c r="F50" s="6">
        <v>2</v>
      </c>
      <c r="G50" s="7" t="s">
        <v>1578</v>
      </c>
      <c r="H50" s="7" t="s">
        <v>1579</v>
      </c>
      <c r="I50" s="12" t="s">
        <v>1580</v>
      </c>
    </row>
    <row r="51" spans="1:9" ht="16.5" thickTop="1" thickBot="1">
      <c r="A51" s="6">
        <v>226361</v>
      </c>
      <c r="B51" s="6" t="s">
        <v>1378</v>
      </c>
      <c r="C51" s="6">
        <v>2391</v>
      </c>
      <c r="D51" s="6" t="s">
        <v>404</v>
      </c>
      <c r="E51" s="6" t="s">
        <v>23</v>
      </c>
      <c r="F51" s="6">
        <v>2</v>
      </c>
      <c r="G51" s="7" t="s">
        <v>1581</v>
      </c>
      <c r="H51" s="7" t="s">
        <v>1582</v>
      </c>
      <c r="I51" s="12" t="s">
        <v>1583</v>
      </c>
    </row>
    <row r="52" spans="1:9" ht="16.5" thickTop="1" thickBot="1">
      <c r="A52" s="6">
        <v>226362</v>
      </c>
      <c r="B52" s="6" t="s">
        <v>1378</v>
      </c>
      <c r="C52" s="6">
        <v>2396</v>
      </c>
      <c r="D52" s="6" t="s">
        <v>1406</v>
      </c>
      <c r="E52" s="6" t="s">
        <v>23</v>
      </c>
      <c r="F52" s="6">
        <v>3</v>
      </c>
      <c r="G52" s="7" t="s">
        <v>1584</v>
      </c>
      <c r="H52" s="7" t="s">
        <v>1585</v>
      </c>
      <c r="I52" s="12" t="s">
        <v>1586</v>
      </c>
    </row>
    <row r="53" spans="1:9" ht="16.5" thickTop="1" thickBot="1">
      <c r="A53" s="6">
        <v>226366</v>
      </c>
      <c r="B53" s="6" t="s">
        <v>1378</v>
      </c>
      <c r="C53" s="6">
        <v>2404</v>
      </c>
      <c r="D53" s="6" t="s">
        <v>785</v>
      </c>
      <c r="E53" s="6" t="s">
        <v>23</v>
      </c>
      <c r="F53" s="6">
        <v>1</v>
      </c>
      <c r="G53" s="7" t="s">
        <v>1587</v>
      </c>
      <c r="H53" s="12" t="s">
        <v>1685</v>
      </c>
      <c r="I53" s="12" t="s">
        <v>1588</v>
      </c>
    </row>
    <row r="54" spans="1:9" ht="16.5" thickTop="1" thickBot="1">
      <c r="A54" s="6">
        <v>226368</v>
      </c>
      <c r="B54" s="6" t="s">
        <v>1378</v>
      </c>
      <c r="C54" s="6">
        <v>2412</v>
      </c>
      <c r="D54" s="6" t="s">
        <v>1407</v>
      </c>
      <c r="E54" s="6" t="s">
        <v>23</v>
      </c>
      <c r="F54" s="6">
        <v>2</v>
      </c>
      <c r="G54" s="7" t="s">
        <v>1589</v>
      </c>
      <c r="H54" s="7" t="s">
        <v>1591</v>
      </c>
      <c r="I54" s="12" t="s">
        <v>1592</v>
      </c>
    </row>
    <row r="55" spans="1:9" ht="16.5" thickTop="1" thickBot="1">
      <c r="A55" s="6">
        <v>226371</v>
      </c>
      <c r="B55" s="6" t="s">
        <v>1378</v>
      </c>
      <c r="C55" s="6">
        <v>2422</v>
      </c>
      <c r="D55" s="6" t="s">
        <v>1408</v>
      </c>
      <c r="E55" s="6" t="s">
        <v>23</v>
      </c>
      <c r="F55" s="6">
        <v>4</v>
      </c>
      <c r="G55" s="7" t="s">
        <v>1593</v>
      </c>
      <c r="H55" s="7" t="s">
        <v>1594</v>
      </c>
      <c r="I55" s="12" t="s">
        <v>1595</v>
      </c>
    </row>
    <row r="56" spans="1:9" ht="16.5" thickTop="1" thickBot="1">
      <c r="A56" s="6">
        <v>226373</v>
      </c>
      <c r="B56" s="6" t="s">
        <v>1378</v>
      </c>
      <c r="C56" s="6">
        <v>2426</v>
      </c>
      <c r="D56" s="6" t="s">
        <v>764</v>
      </c>
      <c r="E56" s="6" t="s">
        <v>23</v>
      </c>
      <c r="F56" s="6">
        <v>2</v>
      </c>
      <c r="G56" s="7" t="s">
        <v>1590</v>
      </c>
      <c r="H56" s="7" t="s">
        <v>1611</v>
      </c>
      <c r="I56" s="12" t="s">
        <v>1604</v>
      </c>
    </row>
    <row r="57" spans="1:9" ht="16.5" thickTop="1" thickBot="1">
      <c r="A57" s="6">
        <v>226374</v>
      </c>
      <c r="B57" s="6" t="s">
        <v>1378</v>
      </c>
      <c r="C57" s="6">
        <v>2430</v>
      </c>
      <c r="D57" s="6" t="s">
        <v>1409</v>
      </c>
      <c r="E57" s="6" t="s">
        <v>23</v>
      </c>
      <c r="F57" s="6">
        <v>2</v>
      </c>
      <c r="G57" s="7" t="s">
        <v>1596</v>
      </c>
      <c r="H57" s="7" t="s">
        <v>1597</v>
      </c>
      <c r="I57" s="12" t="s">
        <v>1598</v>
      </c>
    </row>
    <row r="58" spans="1:9" ht="16.5" thickTop="1" thickBot="1">
      <c r="A58" s="6">
        <v>226375</v>
      </c>
      <c r="B58" s="6" t="s">
        <v>1378</v>
      </c>
      <c r="C58" s="6">
        <v>2437</v>
      </c>
      <c r="D58" s="6" t="s">
        <v>1410</v>
      </c>
      <c r="E58" s="6" t="s">
        <v>23</v>
      </c>
      <c r="F58" s="6">
        <v>3</v>
      </c>
      <c r="G58" s="7" t="s">
        <v>1599</v>
      </c>
      <c r="H58" s="7" t="s">
        <v>1600</v>
      </c>
      <c r="I58" s="12" t="s">
        <v>1601</v>
      </c>
    </row>
    <row r="59" spans="1:9" ht="16.5" thickTop="1" thickBot="1">
      <c r="A59" s="6">
        <v>226379</v>
      </c>
      <c r="B59" s="6" t="s">
        <v>1378</v>
      </c>
      <c r="C59" s="6">
        <v>2450</v>
      </c>
      <c r="D59" s="6" t="s">
        <v>1411</v>
      </c>
      <c r="E59" s="6" t="s">
        <v>23</v>
      </c>
      <c r="F59" s="6">
        <v>2</v>
      </c>
      <c r="G59" s="7" t="s">
        <v>1605</v>
      </c>
      <c r="H59" s="7" t="s">
        <v>1606</v>
      </c>
      <c r="I59" s="12" t="s">
        <v>1607</v>
      </c>
    </row>
    <row r="60" spans="1:9" ht="16.5" thickTop="1" thickBot="1">
      <c r="A60" s="6">
        <v>226380</v>
      </c>
      <c r="B60" s="6" t="s">
        <v>1378</v>
      </c>
      <c r="C60" s="6">
        <v>2451</v>
      </c>
      <c r="D60" s="6" t="s">
        <v>1412</v>
      </c>
      <c r="E60" s="6" t="s">
        <v>23</v>
      </c>
      <c r="F60" s="6">
        <v>2</v>
      </c>
      <c r="G60" s="7" t="s">
        <v>1608</v>
      </c>
      <c r="H60" s="7" t="s">
        <v>1609</v>
      </c>
      <c r="I60" s="12" t="s">
        <v>1610</v>
      </c>
    </row>
    <row r="61" spans="1:9" ht="16.5" thickTop="1" thickBot="1">
      <c r="A61" s="6">
        <v>226381</v>
      </c>
      <c r="B61" s="6" t="s">
        <v>1378</v>
      </c>
      <c r="C61" s="6">
        <v>2453</v>
      </c>
      <c r="D61" s="6" t="s">
        <v>1413</v>
      </c>
      <c r="E61" s="6" t="s">
        <v>23</v>
      </c>
      <c r="F61" s="6">
        <v>2</v>
      </c>
      <c r="G61" s="7" t="s">
        <v>1612</v>
      </c>
      <c r="H61" s="7" t="s">
        <v>1613</v>
      </c>
      <c r="I61" s="12" t="s">
        <v>1546</v>
      </c>
    </row>
    <row r="62" spans="1:9" ht="16.5" thickTop="1" thickBot="1">
      <c r="A62" s="6">
        <v>226383</v>
      </c>
      <c r="B62" s="6" t="s">
        <v>1378</v>
      </c>
      <c r="C62" s="6">
        <v>2466</v>
      </c>
      <c r="D62" s="6" t="s">
        <v>1414</v>
      </c>
      <c r="E62" s="6" t="s">
        <v>23</v>
      </c>
      <c r="F62" s="6">
        <v>3</v>
      </c>
      <c r="G62" s="7" t="s">
        <v>1614</v>
      </c>
      <c r="H62" s="7" t="s">
        <v>1615</v>
      </c>
      <c r="I62" s="12" t="s">
        <v>1616</v>
      </c>
    </row>
    <row r="63" spans="1:9" ht="16.5" thickTop="1" thickBot="1">
      <c r="A63" s="6">
        <v>226384</v>
      </c>
      <c r="B63" s="6" t="s">
        <v>1378</v>
      </c>
      <c r="C63" s="6">
        <v>2472</v>
      </c>
      <c r="D63" s="6" t="s">
        <v>1415</v>
      </c>
      <c r="E63" s="6" t="s">
        <v>23</v>
      </c>
      <c r="F63" s="6">
        <v>4</v>
      </c>
      <c r="G63" s="7" t="s">
        <v>1617</v>
      </c>
      <c r="H63" s="7" t="s">
        <v>1618</v>
      </c>
      <c r="I63" s="12" t="s">
        <v>1619</v>
      </c>
    </row>
    <row r="64" spans="1:9" ht="16.5" thickTop="1" thickBot="1">
      <c r="A64" s="6">
        <v>226388</v>
      </c>
      <c r="B64" s="6" t="s">
        <v>1378</v>
      </c>
      <c r="C64" s="6">
        <v>4008</v>
      </c>
      <c r="D64" s="6" t="s">
        <v>41</v>
      </c>
      <c r="E64" s="6" t="s">
        <v>23</v>
      </c>
      <c r="F64" s="6">
        <v>2</v>
      </c>
      <c r="G64" s="7" t="s">
        <v>1471</v>
      </c>
      <c r="H64" s="7" t="s">
        <v>1623</v>
      </c>
      <c r="I64" s="12" t="s">
        <v>1624</v>
      </c>
    </row>
    <row r="65" spans="1:9" ht="16.5" thickTop="1" thickBot="1">
      <c r="A65" s="6">
        <v>226389</v>
      </c>
      <c r="B65" s="6" t="s">
        <v>1378</v>
      </c>
      <c r="C65" s="6">
        <v>4022</v>
      </c>
      <c r="D65" s="6" t="s">
        <v>192</v>
      </c>
      <c r="E65" s="6" t="s">
        <v>23</v>
      </c>
      <c r="F65" s="6">
        <v>3</v>
      </c>
      <c r="G65" s="7" t="s">
        <v>1500</v>
      </c>
      <c r="H65" s="7" t="s">
        <v>1627</v>
      </c>
      <c r="I65" s="12" t="s">
        <v>1620</v>
      </c>
    </row>
    <row r="66" spans="1:9" ht="16.5" thickTop="1" thickBot="1">
      <c r="A66" s="6">
        <v>226391</v>
      </c>
      <c r="B66" s="6" t="s">
        <v>1378</v>
      </c>
      <c r="C66" s="6">
        <v>4032</v>
      </c>
      <c r="D66" s="6" t="s">
        <v>1416</v>
      </c>
      <c r="E66" s="6" t="s">
        <v>23</v>
      </c>
      <c r="F66" s="6">
        <v>2</v>
      </c>
      <c r="G66" s="7" t="s">
        <v>1445</v>
      </c>
      <c r="H66" s="7" t="s">
        <v>1628</v>
      </c>
      <c r="I66" s="12" t="s">
        <v>1629</v>
      </c>
    </row>
    <row r="67" spans="1:9" ht="16.5" thickTop="1" thickBot="1">
      <c r="A67" s="6">
        <v>226393</v>
      </c>
      <c r="B67" s="6" t="s">
        <v>1378</v>
      </c>
      <c r="C67" s="6">
        <v>4037</v>
      </c>
      <c r="D67" s="6" t="s">
        <v>1417</v>
      </c>
      <c r="E67" s="6" t="s">
        <v>23</v>
      </c>
      <c r="F67" s="6">
        <v>2</v>
      </c>
      <c r="G67" s="7" t="s">
        <v>1622</v>
      </c>
      <c r="H67" s="7" t="s">
        <v>1631</v>
      </c>
      <c r="I67" s="12" t="s">
        <v>1632</v>
      </c>
    </row>
    <row r="68" spans="1:9" ht="16.5" thickTop="1" thickBot="1">
      <c r="A68" s="6">
        <v>226396</v>
      </c>
      <c r="B68" s="6" t="s">
        <v>1378</v>
      </c>
      <c r="C68" s="6">
        <v>4050</v>
      </c>
      <c r="D68" s="6" t="s">
        <v>414</v>
      </c>
      <c r="E68" s="6" t="s">
        <v>23</v>
      </c>
      <c r="F68" s="6">
        <v>2</v>
      </c>
      <c r="G68" s="7" t="s">
        <v>1453</v>
      </c>
      <c r="H68" s="7" t="s">
        <v>1633</v>
      </c>
      <c r="I68" s="12" t="s">
        <v>1621</v>
      </c>
    </row>
    <row r="69" spans="1:9" ht="16.5" thickTop="1" thickBot="1">
      <c r="A69" s="6">
        <v>226398</v>
      </c>
      <c r="B69" s="6" t="s">
        <v>1378</v>
      </c>
      <c r="C69" s="6">
        <v>4055</v>
      </c>
      <c r="D69" s="6" t="s">
        <v>1418</v>
      </c>
      <c r="E69" s="6" t="s">
        <v>23</v>
      </c>
      <c r="F69" s="6">
        <v>2</v>
      </c>
      <c r="G69" s="7" t="s">
        <v>1634</v>
      </c>
      <c r="H69" s="7" t="s">
        <v>1635</v>
      </c>
      <c r="I69" s="12" t="s">
        <v>1630</v>
      </c>
    </row>
    <row r="70" spans="1:9" ht="16.5" thickTop="1" thickBot="1">
      <c r="A70" s="6">
        <v>226399</v>
      </c>
      <c r="B70" s="6" t="s">
        <v>1378</v>
      </c>
      <c r="C70" s="6">
        <v>4060</v>
      </c>
      <c r="D70" s="6" t="s">
        <v>1419</v>
      </c>
      <c r="E70" s="6" t="s">
        <v>23</v>
      </c>
      <c r="F70" s="6">
        <v>2</v>
      </c>
      <c r="G70" s="7" t="s">
        <v>1489</v>
      </c>
      <c r="H70" s="7" t="s">
        <v>1636</v>
      </c>
      <c r="I70" s="12" t="s">
        <v>1637</v>
      </c>
    </row>
    <row r="71" spans="1:9" ht="16.5" thickTop="1" thickBot="1">
      <c r="A71" s="6">
        <v>226400</v>
      </c>
      <c r="B71" s="6" t="s">
        <v>1378</v>
      </c>
      <c r="C71" s="6">
        <v>4069</v>
      </c>
      <c r="D71" s="6" t="s">
        <v>1420</v>
      </c>
      <c r="E71" s="6" t="s">
        <v>23</v>
      </c>
      <c r="F71" s="6">
        <v>3</v>
      </c>
      <c r="G71" s="7" t="s">
        <v>1638</v>
      </c>
      <c r="H71" s="7" t="s">
        <v>1639</v>
      </c>
      <c r="I71" s="12" t="s">
        <v>1640</v>
      </c>
    </row>
    <row r="72" spans="1:9" ht="16.5" thickTop="1" thickBot="1">
      <c r="A72" s="6">
        <v>226401</v>
      </c>
      <c r="B72" s="6" t="s">
        <v>1378</v>
      </c>
      <c r="C72" s="6">
        <v>4093</v>
      </c>
      <c r="D72" s="6" t="s">
        <v>1421</v>
      </c>
      <c r="E72" s="6" t="s">
        <v>23</v>
      </c>
      <c r="F72" s="6">
        <v>3</v>
      </c>
      <c r="G72" s="7" t="s">
        <v>1644</v>
      </c>
      <c r="H72" s="7" t="s">
        <v>1645</v>
      </c>
      <c r="I72" s="12" t="s">
        <v>1643</v>
      </c>
    </row>
    <row r="73" spans="1:9" ht="16.5" thickTop="1" thickBot="1">
      <c r="A73" s="6">
        <v>226404</v>
      </c>
      <c r="B73" s="6" t="s">
        <v>1378</v>
      </c>
      <c r="C73" s="6">
        <v>4113</v>
      </c>
      <c r="D73" s="6" t="s">
        <v>738</v>
      </c>
      <c r="E73" s="6" t="s">
        <v>23</v>
      </c>
      <c r="F73" s="6">
        <v>4</v>
      </c>
      <c r="G73" s="7" t="s">
        <v>1647</v>
      </c>
      <c r="H73" s="7" t="s">
        <v>1648</v>
      </c>
      <c r="I73" s="12" t="s">
        <v>1642</v>
      </c>
    </row>
    <row r="74" spans="1:9" ht="16.5" thickTop="1" thickBot="1">
      <c r="A74" s="6">
        <v>226406</v>
      </c>
      <c r="B74" s="6" t="s">
        <v>1378</v>
      </c>
      <c r="C74" s="6">
        <v>4116</v>
      </c>
      <c r="D74" s="6" t="s">
        <v>787</v>
      </c>
      <c r="E74" s="6" t="s">
        <v>10</v>
      </c>
      <c r="F74" s="6">
        <v>5</v>
      </c>
      <c r="G74" s="7" t="s">
        <v>1649</v>
      </c>
      <c r="H74" s="12" t="s">
        <v>1650</v>
      </c>
      <c r="I74" s="12" t="s">
        <v>1651</v>
      </c>
    </row>
    <row r="75" spans="1:9" ht="16.5" thickTop="1" thickBot="1">
      <c r="A75" s="6">
        <v>226414</v>
      </c>
      <c r="B75" s="6" t="s">
        <v>1378</v>
      </c>
      <c r="C75" s="6">
        <v>4147</v>
      </c>
      <c r="D75" s="6" t="s">
        <v>1422</v>
      </c>
      <c r="E75" s="6" t="s">
        <v>23</v>
      </c>
      <c r="F75" s="6">
        <v>3</v>
      </c>
      <c r="G75" s="7" t="s">
        <v>1652</v>
      </c>
      <c r="H75" s="7" t="s">
        <v>1656</v>
      </c>
      <c r="I75" s="12" t="s">
        <v>1641</v>
      </c>
    </row>
    <row r="76" spans="1:9" ht="16.5" thickTop="1" thickBot="1">
      <c r="A76" s="6">
        <v>226417</v>
      </c>
      <c r="B76" s="6" t="s">
        <v>1378</v>
      </c>
      <c r="C76" s="6">
        <v>4156</v>
      </c>
      <c r="D76" s="6" t="s">
        <v>1423</v>
      </c>
      <c r="E76" s="6" t="s">
        <v>23</v>
      </c>
      <c r="F76" s="6">
        <v>2</v>
      </c>
      <c r="G76" s="7" t="s">
        <v>1653</v>
      </c>
      <c r="H76" s="7" t="s">
        <v>1657</v>
      </c>
      <c r="I76" s="12" t="s">
        <v>1646</v>
      </c>
    </row>
    <row r="77" spans="1:9" ht="16.5" thickTop="1" thickBot="1">
      <c r="A77" s="6">
        <v>226422</v>
      </c>
      <c r="B77" s="6" t="s">
        <v>1378</v>
      </c>
      <c r="C77" s="6">
        <v>4178</v>
      </c>
      <c r="D77" s="6" t="s">
        <v>1424</v>
      </c>
      <c r="E77" s="6" t="s">
        <v>23</v>
      </c>
      <c r="F77" s="6">
        <v>4</v>
      </c>
      <c r="G77" s="7" t="s">
        <v>1654</v>
      </c>
      <c r="H77" s="7" t="s">
        <v>1658</v>
      </c>
      <c r="I77" s="12" t="s">
        <v>1659</v>
      </c>
    </row>
    <row r="78" spans="1:9" ht="16.5" thickTop="1" thickBot="1">
      <c r="A78" s="6">
        <v>226424</v>
      </c>
      <c r="B78" s="6" t="s">
        <v>1378</v>
      </c>
      <c r="C78" s="6">
        <v>4199</v>
      </c>
      <c r="D78" s="6" t="s">
        <v>227</v>
      </c>
      <c r="E78" s="6" t="s">
        <v>23</v>
      </c>
      <c r="F78" s="6">
        <v>3</v>
      </c>
      <c r="G78" s="7" t="s">
        <v>1660</v>
      </c>
      <c r="H78" s="7" t="s">
        <v>1661</v>
      </c>
      <c r="I78" s="12" t="s">
        <v>1662</v>
      </c>
    </row>
    <row r="79" spans="1:9" ht="16.5" thickTop="1" thickBot="1">
      <c r="A79" s="6">
        <v>226428</v>
      </c>
      <c r="B79" s="6" t="s">
        <v>1378</v>
      </c>
      <c r="C79" s="6">
        <v>4211</v>
      </c>
      <c r="D79" s="6" t="s">
        <v>1425</v>
      </c>
      <c r="E79" s="6" t="s">
        <v>23</v>
      </c>
      <c r="F79" s="6">
        <v>2</v>
      </c>
      <c r="G79" s="7" t="s">
        <v>1663</v>
      </c>
      <c r="H79" s="7" t="s">
        <v>1664</v>
      </c>
      <c r="I79" s="12" t="s">
        <v>1602</v>
      </c>
    </row>
    <row r="80" spans="1:9" ht="16.5" thickTop="1" thickBot="1">
      <c r="A80" s="6">
        <v>226433</v>
      </c>
      <c r="B80" s="6" t="s">
        <v>1378</v>
      </c>
      <c r="C80" s="6">
        <v>4230</v>
      </c>
      <c r="D80" s="6" t="s">
        <v>56</v>
      </c>
      <c r="E80" s="6" t="s">
        <v>10</v>
      </c>
      <c r="F80" s="6">
        <v>5</v>
      </c>
      <c r="G80" s="7" t="s">
        <v>1655</v>
      </c>
      <c r="H80" s="12" t="s">
        <v>1665</v>
      </c>
      <c r="I80" s="12" t="s">
        <v>1603</v>
      </c>
    </row>
    <row r="81" spans="1:9" ht="16.5" thickTop="1" thickBot="1">
      <c r="A81" s="6">
        <v>226435</v>
      </c>
      <c r="B81" s="6" t="s">
        <v>1378</v>
      </c>
      <c r="C81" s="6">
        <v>4244</v>
      </c>
      <c r="D81" s="6" t="s">
        <v>1281</v>
      </c>
      <c r="E81" s="6" t="s">
        <v>10</v>
      </c>
      <c r="F81" s="6">
        <v>2</v>
      </c>
      <c r="G81" s="7" t="s">
        <v>1666</v>
      </c>
      <c r="H81" s="12" t="s">
        <v>1667</v>
      </c>
      <c r="I81" s="12" t="s">
        <v>1668</v>
      </c>
    </row>
    <row r="82" spans="1:9" ht="16.5" thickTop="1" thickBot="1">
      <c r="A82" s="6">
        <v>226437</v>
      </c>
      <c r="B82" s="6" t="s">
        <v>1378</v>
      </c>
      <c r="C82" s="6">
        <v>4254</v>
      </c>
      <c r="D82" s="6" t="s">
        <v>824</v>
      </c>
      <c r="E82" s="6" t="s">
        <v>23</v>
      </c>
      <c r="F82" s="6">
        <v>4</v>
      </c>
      <c r="G82" s="7" t="s">
        <v>1669</v>
      </c>
      <c r="H82" s="7" t="s">
        <v>1670</v>
      </c>
      <c r="I82" s="12" t="s">
        <v>1671</v>
      </c>
    </row>
    <row r="83" spans="1:9" ht="16.5" thickTop="1" thickBot="1">
      <c r="A83" s="6">
        <v>226439</v>
      </c>
      <c r="B83" s="6" t="s">
        <v>1378</v>
      </c>
      <c r="C83" s="6">
        <v>4272</v>
      </c>
      <c r="D83" s="6" t="s">
        <v>1426</v>
      </c>
      <c r="E83" s="6" t="s">
        <v>23</v>
      </c>
      <c r="F83" s="6">
        <v>1</v>
      </c>
      <c r="G83" s="7" t="s">
        <v>1672</v>
      </c>
      <c r="H83" s="12" t="s">
        <v>1684</v>
      </c>
      <c r="I83" s="12" t="s">
        <v>1673</v>
      </c>
    </row>
    <row r="84" spans="1:9" ht="16.5" thickTop="1" thickBot="1">
      <c r="A84" s="6">
        <v>226440</v>
      </c>
      <c r="B84" s="6" t="s">
        <v>1378</v>
      </c>
      <c r="C84" s="6">
        <v>4277</v>
      </c>
      <c r="D84" s="6" t="s">
        <v>1242</v>
      </c>
      <c r="E84" s="6" t="s">
        <v>10</v>
      </c>
      <c r="F84" s="6">
        <v>5</v>
      </c>
      <c r="G84" s="7" t="s">
        <v>1674</v>
      </c>
      <c r="H84" s="12" t="s">
        <v>1675</v>
      </c>
      <c r="I84" s="12" t="s">
        <v>1676</v>
      </c>
    </row>
    <row r="85" spans="1:9" ht="16.5" thickTop="1" thickBot="1">
      <c r="A85" s="6">
        <v>226441</v>
      </c>
      <c r="B85" s="6" t="s">
        <v>1378</v>
      </c>
      <c r="C85" s="6">
        <v>4303</v>
      </c>
      <c r="D85" s="6" t="s">
        <v>1213</v>
      </c>
      <c r="E85" s="6" t="s">
        <v>23</v>
      </c>
      <c r="F85" s="6">
        <v>2</v>
      </c>
      <c r="G85" s="7" t="s">
        <v>1678</v>
      </c>
      <c r="H85" s="12" t="s">
        <v>1679</v>
      </c>
      <c r="I85" s="12" t="s">
        <v>1680</v>
      </c>
    </row>
    <row r="86" spans="1:9" ht="16.5" thickTop="1" thickBot="1">
      <c r="A86" s="6">
        <v>226444</v>
      </c>
      <c r="B86" s="6" t="s">
        <v>1378</v>
      </c>
      <c r="C86" s="6">
        <v>4320</v>
      </c>
      <c r="D86" s="6" t="s">
        <v>1427</v>
      </c>
      <c r="E86" s="6" t="s">
        <v>23</v>
      </c>
      <c r="F86" s="6">
        <v>3</v>
      </c>
      <c r="G86" s="7" t="s">
        <v>1686</v>
      </c>
      <c r="H86" s="12" t="s">
        <v>1687</v>
      </c>
      <c r="I86" s="12" t="s">
        <v>1688</v>
      </c>
    </row>
    <row r="87" spans="1:9" ht="16.5" thickTop="1" thickBot="1">
      <c r="A87" s="6">
        <v>226445</v>
      </c>
      <c r="B87" s="6" t="s">
        <v>1378</v>
      </c>
      <c r="C87" s="6">
        <v>4322</v>
      </c>
      <c r="D87" s="6" t="s">
        <v>1428</v>
      </c>
      <c r="E87" s="6" t="s">
        <v>23</v>
      </c>
      <c r="F87" s="6">
        <v>3</v>
      </c>
      <c r="G87" s="7" t="s">
        <v>1689</v>
      </c>
      <c r="H87" s="12" t="s">
        <v>1690</v>
      </c>
      <c r="I87" s="12" t="s">
        <v>1683</v>
      </c>
    </row>
    <row r="88" spans="1:9" ht="16.5" thickTop="1" thickBot="1">
      <c r="A88" s="6">
        <v>226446</v>
      </c>
      <c r="B88" s="6" t="s">
        <v>1378</v>
      </c>
      <c r="C88" s="6">
        <v>4324</v>
      </c>
      <c r="D88" s="6" t="s">
        <v>1429</v>
      </c>
      <c r="E88" s="6" t="s">
        <v>23</v>
      </c>
      <c r="F88" s="6">
        <v>3</v>
      </c>
      <c r="G88" s="7" t="s">
        <v>1691</v>
      </c>
      <c r="H88" s="12" t="s">
        <v>1692</v>
      </c>
      <c r="I88" s="12" t="s">
        <v>1681</v>
      </c>
    </row>
    <row r="89" spans="1:9" ht="16.5" thickTop="1" thickBot="1">
      <c r="A89" s="6">
        <v>226448</v>
      </c>
      <c r="B89" s="6" t="s">
        <v>1378</v>
      </c>
      <c r="C89" s="6">
        <v>4342</v>
      </c>
      <c r="D89" s="6" t="s">
        <v>250</v>
      </c>
      <c r="E89" s="6" t="s">
        <v>23</v>
      </c>
      <c r="F89" s="6">
        <v>2</v>
      </c>
      <c r="G89" s="7" t="s">
        <v>1693</v>
      </c>
      <c r="H89" s="12" t="s">
        <v>1694</v>
      </c>
      <c r="I89" s="12" t="s">
        <v>1695</v>
      </c>
    </row>
    <row r="90" spans="1:9" ht="16.5" thickTop="1" thickBot="1">
      <c r="A90" s="6">
        <v>226449</v>
      </c>
      <c r="B90" s="6" t="s">
        <v>1378</v>
      </c>
      <c r="C90" s="6">
        <v>4344</v>
      </c>
      <c r="D90" s="6" t="s">
        <v>744</v>
      </c>
      <c r="E90" s="6" t="s">
        <v>23</v>
      </c>
      <c r="F90" s="6">
        <v>8</v>
      </c>
      <c r="G90" s="7" t="s">
        <v>1697</v>
      </c>
      <c r="H90" s="12" t="s">
        <v>1698</v>
      </c>
      <c r="I90" s="12" t="s">
        <v>1696</v>
      </c>
    </row>
    <row r="91" spans="1:9" ht="16.5" thickTop="1" thickBot="1">
      <c r="A91" s="6">
        <v>226451</v>
      </c>
      <c r="B91" s="6" t="s">
        <v>1378</v>
      </c>
      <c r="C91" s="6">
        <v>4349</v>
      </c>
      <c r="D91" s="6" t="s">
        <v>815</v>
      </c>
      <c r="E91" s="6" t="s">
        <v>23</v>
      </c>
      <c r="F91" s="6">
        <v>2</v>
      </c>
      <c r="G91" s="7" t="s">
        <v>1699</v>
      </c>
      <c r="H91" s="12" t="s">
        <v>1700</v>
      </c>
      <c r="I91" s="12" t="s">
        <v>1701</v>
      </c>
    </row>
    <row r="92" spans="1:9" ht="16.5" thickTop="1" thickBot="1">
      <c r="A92" s="6">
        <v>226453</v>
      </c>
      <c r="B92" s="6" t="s">
        <v>1378</v>
      </c>
      <c r="C92" s="6">
        <v>4364</v>
      </c>
      <c r="D92" s="6" t="s">
        <v>1430</v>
      </c>
      <c r="E92" s="6" t="s">
        <v>23</v>
      </c>
      <c r="F92" s="6">
        <v>3</v>
      </c>
      <c r="G92" s="7" t="s">
        <v>1702</v>
      </c>
      <c r="H92" s="12" t="s">
        <v>1703</v>
      </c>
      <c r="I92" s="12" t="s">
        <v>1704</v>
      </c>
    </row>
    <row r="93" spans="1:9" ht="16.5" thickTop="1" thickBot="1">
      <c r="A93" s="6">
        <v>226461</v>
      </c>
      <c r="B93" s="6" t="s">
        <v>1378</v>
      </c>
      <c r="C93" s="6">
        <v>4437</v>
      </c>
      <c r="D93" s="6" t="s">
        <v>1431</v>
      </c>
      <c r="E93" s="6" t="s">
        <v>23</v>
      </c>
      <c r="F93" s="6">
        <v>4</v>
      </c>
      <c r="G93" s="7" t="s">
        <v>1705</v>
      </c>
      <c r="H93" s="12" t="s">
        <v>1706</v>
      </c>
      <c r="I93" s="12" t="s">
        <v>1682</v>
      </c>
    </row>
    <row r="94" spans="1:9" ht="16.5" thickTop="1" thickBot="1">
      <c r="A94" s="6">
        <v>226463</v>
      </c>
      <c r="B94" s="6" t="s">
        <v>1378</v>
      </c>
      <c r="C94" s="6">
        <v>4445</v>
      </c>
      <c r="D94" s="6" t="s">
        <v>1432</v>
      </c>
      <c r="E94" s="6" t="s">
        <v>23</v>
      </c>
      <c r="F94" s="6">
        <v>3</v>
      </c>
      <c r="G94" s="7" t="s">
        <v>1707</v>
      </c>
      <c r="H94" s="12" t="s">
        <v>1708</v>
      </c>
      <c r="I94" s="12" t="s">
        <v>1709</v>
      </c>
    </row>
    <row r="95" spans="1:9" ht="16.5" thickTop="1" thickBot="1">
      <c r="A95" s="6">
        <v>226465</v>
      </c>
      <c r="B95" s="6" t="s">
        <v>1378</v>
      </c>
      <c r="C95" s="6">
        <v>4465</v>
      </c>
      <c r="D95" s="6" t="s">
        <v>483</v>
      </c>
      <c r="E95" s="6" t="s">
        <v>23</v>
      </c>
      <c r="F95" s="6">
        <v>1</v>
      </c>
      <c r="G95" s="7" t="s">
        <v>1710</v>
      </c>
      <c r="H95" s="12" t="s">
        <v>1711</v>
      </c>
      <c r="I95" s="12" t="s">
        <v>1483</v>
      </c>
    </row>
    <row r="96" spans="1:9" ht="16.5" thickTop="1" thickBot="1">
      <c r="A96" s="6">
        <v>226470</v>
      </c>
      <c r="B96" s="6" t="s">
        <v>1378</v>
      </c>
      <c r="C96" s="6">
        <v>4483</v>
      </c>
      <c r="D96" s="6" t="s">
        <v>1433</v>
      </c>
      <c r="E96" s="6" t="s">
        <v>23</v>
      </c>
      <c r="F96" s="6">
        <v>1</v>
      </c>
      <c r="G96" s="7" t="s">
        <v>1712</v>
      </c>
      <c r="H96" s="12" t="s">
        <v>1713</v>
      </c>
      <c r="I96" s="12" t="s">
        <v>1677</v>
      </c>
    </row>
    <row r="97" spans="1:9" ht="16.5" thickTop="1" thickBot="1">
      <c r="A97" s="6">
        <v>226473</v>
      </c>
      <c r="B97" s="6" t="s">
        <v>1378</v>
      </c>
      <c r="C97" s="6">
        <v>4492</v>
      </c>
      <c r="D97" s="6" t="s">
        <v>1434</v>
      </c>
      <c r="E97" s="6" t="s">
        <v>23</v>
      </c>
      <c r="F97" s="6">
        <v>3</v>
      </c>
      <c r="G97" s="7" t="s">
        <v>1714</v>
      </c>
      <c r="H97" s="12" t="s">
        <v>1715</v>
      </c>
      <c r="I97" s="12" t="s">
        <v>1716</v>
      </c>
    </row>
    <row r="98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59999389629810485"/>
  </sheetPr>
  <dimension ref="A1:I15"/>
  <sheetViews>
    <sheetView showGridLines="0" tabSelected="1" topLeftCell="C1" workbookViewId="0">
      <pane ySplit="1" topLeftCell="A2" activePane="bottomLeft" state="frozen"/>
      <selection pane="bottomLeft" activeCell="H20" sqref="H20"/>
    </sheetView>
  </sheetViews>
  <sheetFormatPr defaultRowHeight="14.25"/>
  <cols>
    <col min="1" max="1" width="14.75" customWidth="1"/>
    <col min="2" max="2" width="25.25" customWidth="1"/>
    <col min="3" max="3" width="22.125" customWidth="1"/>
    <col min="4" max="4" width="35.625" customWidth="1"/>
    <col min="5" max="5" width="16.125" customWidth="1"/>
    <col min="6" max="6" width="19.25" customWidth="1"/>
    <col min="7" max="7" width="44.125" bestFit="1" customWidth="1"/>
    <col min="8" max="8" width="77.875" style="5" customWidth="1"/>
    <col min="9" max="9" width="16.125" customWidth="1"/>
    <col min="11" max="11" width="8.25" customWidth="1"/>
  </cols>
  <sheetData>
    <row r="1" spans="1:9" ht="16.5" thickTop="1" thickBot="1">
      <c r="A1" s="6" t="s">
        <v>1122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1123</v>
      </c>
      <c r="G1" s="8" t="s">
        <v>1124</v>
      </c>
      <c r="H1" s="8" t="s">
        <v>1125</v>
      </c>
      <c r="I1" s="8" t="s">
        <v>1126</v>
      </c>
    </row>
    <row r="2" spans="1:9" ht="16.5" thickTop="1" thickBot="1">
      <c r="A2" s="6">
        <v>226484</v>
      </c>
      <c r="B2" s="13" t="s">
        <v>1722</v>
      </c>
      <c r="C2" s="6">
        <v>2061</v>
      </c>
      <c r="D2" s="6" t="s">
        <v>13</v>
      </c>
      <c r="E2" s="6" t="s">
        <v>10</v>
      </c>
      <c r="F2" s="6">
        <v>3</v>
      </c>
      <c r="G2" s="7" t="s">
        <v>1726</v>
      </c>
      <c r="H2" s="8" t="s">
        <v>1727</v>
      </c>
      <c r="I2" s="8" t="s">
        <v>1728</v>
      </c>
    </row>
    <row r="3" spans="1:9" ht="16.5" thickTop="1" thickBot="1">
      <c r="A3" s="6">
        <v>226501</v>
      </c>
      <c r="B3" s="13" t="s">
        <v>1722</v>
      </c>
      <c r="C3" s="6">
        <v>2160</v>
      </c>
      <c r="D3" s="6" t="s">
        <v>1174</v>
      </c>
      <c r="E3" s="6" t="s">
        <v>23</v>
      </c>
      <c r="F3" s="6">
        <v>2</v>
      </c>
      <c r="G3" s="7" t="s">
        <v>1729</v>
      </c>
      <c r="H3" s="8" t="s">
        <v>1731</v>
      </c>
      <c r="I3" s="8" t="s">
        <v>1732</v>
      </c>
    </row>
    <row r="4" spans="1:9" ht="16.5" thickTop="1" thickBot="1">
      <c r="A4" s="6">
        <v>226512</v>
      </c>
      <c r="B4" s="13" t="s">
        <v>1722</v>
      </c>
      <c r="C4" s="6">
        <v>2189</v>
      </c>
      <c r="D4" s="6" t="s">
        <v>1723</v>
      </c>
      <c r="E4" s="6" t="s">
        <v>23</v>
      </c>
      <c r="F4" s="6">
        <v>2</v>
      </c>
      <c r="G4" s="7" t="s">
        <v>1733</v>
      </c>
      <c r="H4" s="8" t="s">
        <v>1735</v>
      </c>
      <c r="I4" s="8" t="s">
        <v>1736</v>
      </c>
    </row>
    <row r="5" spans="1:9" ht="16.5" thickTop="1" thickBot="1">
      <c r="A5" s="6">
        <v>226513</v>
      </c>
      <c r="B5" s="13" t="s">
        <v>1722</v>
      </c>
      <c r="C5" s="6">
        <v>2189</v>
      </c>
      <c r="D5" s="6" t="s">
        <v>1723</v>
      </c>
      <c r="E5" s="6" t="s">
        <v>10</v>
      </c>
      <c r="F5" s="6">
        <v>3</v>
      </c>
      <c r="G5" s="7" t="s">
        <v>1737</v>
      </c>
      <c r="H5" s="8" t="s">
        <v>1738</v>
      </c>
      <c r="I5" s="8" t="s">
        <v>1739</v>
      </c>
    </row>
    <row r="6" spans="1:9" ht="16.5" thickTop="1" thickBot="1">
      <c r="A6" s="6">
        <v>226534</v>
      </c>
      <c r="B6" s="13" t="s">
        <v>1722</v>
      </c>
      <c r="C6" s="6">
        <v>2330</v>
      </c>
      <c r="D6" s="6" t="s">
        <v>1724</v>
      </c>
      <c r="E6" s="6" t="s">
        <v>10</v>
      </c>
      <c r="F6" s="6">
        <v>4</v>
      </c>
      <c r="G6" s="7" t="s">
        <v>1740</v>
      </c>
      <c r="H6" s="8" t="s">
        <v>1741</v>
      </c>
      <c r="I6" s="8" t="s">
        <v>1742</v>
      </c>
    </row>
    <row r="7" spans="1:9" ht="16.5" thickTop="1" thickBot="1">
      <c r="A7" s="6">
        <v>226564</v>
      </c>
      <c r="B7" s="13" t="s">
        <v>1722</v>
      </c>
      <c r="C7" s="6">
        <v>4034</v>
      </c>
      <c r="D7" s="6" t="s">
        <v>44</v>
      </c>
      <c r="E7" s="6" t="s">
        <v>23</v>
      </c>
      <c r="F7" s="6">
        <v>2</v>
      </c>
      <c r="G7" s="7" t="s">
        <v>1743</v>
      </c>
      <c r="H7" s="8" t="s">
        <v>1744</v>
      </c>
      <c r="I7" s="8" t="s">
        <v>1745</v>
      </c>
    </row>
    <row r="8" spans="1:9" ht="16.5" thickTop="1" thickBot="1">
      <c r="A8" s="6">
        <v>226568</v>
      </c>
      <c r="B8" s="13" t="s">
        <v>1722</v>
      </c>
      <c r="C8" s="6">
        <v>4046</v>
      </c>
      <c r="D8" s="6" t="s">
        <v>1177</v>
      </c>
      <c r="E8" s="6" t="s">
        <v>23</v>
      </c>
      <c r="F8" s="6">
        <v>3</v>
      </c>
      <c r="G8" s="7" t="s">
        <v>1746</v>
      </c>
      <c r="H8" s="8" t="s">
        <v>1747</v>
      </c>
      <c r="I8" s="8" t="s">
        <v>1748</v>
      </c>
    </row>
    <row r="9" spans="1:9" ht="16.5" thickTop="1" thickBot="1">
      <c r="A9" s="6">
        <v>226573</v>
      </c>
      <c r="B9" s="13" t="s">
        <v>1722</v>
      </c>
      <c r="C9" s="6">
        <v>4080</v>
      </c>
      <c r="D9" s="6" t="s">
        <v>316</v>
      </c>
      <c r="E9" s="6" t="s">
        <v>23</v>
      </c>
      <c r="F9" s="6">
        <v>2</v>
      </c>
      <c r="G9" s="7" t="s">
        <v>1749</v>
      </c>
      <c r="H9" s="8" t="s">
        <v>1750</v>
      </c>
      <c r="I9" s="8" t="s">
        <v>1751</v>
      </c>
    </row>
    <row r="10" spans="1:9" ht="16.5" thickTop="1" thickBot="1">
      <c r="A10" s="6">
        <v>226595</v>
      </c>
      <c r="B10" s="13" t="s">
        <v>1722</v>
      </c>
      <c r="C10" s="6">
        <v>4182</v>
      </c>
      <c r="D10" s="6" t="s">
        <v>324</v>
      </c>
      <c r="E10" s="6" t="s">
        <v>10</v>
      </c>
      <c r="F10" s="6">
        <v>6</v>
      </c>
      <c r="G10" s="7" t="s">
        <v>1752</v>
      </c>
      <c r="H10" s="8" t="s">
        <v>1753</v>
      </c>
      <c r="I10" s="8" t="s">
        <v>1754</v>
      </c>
    </row>
    <row r="11" spans="1:9" ht="16.5" thickTop="1" thickBot="1">
      <c r="A11" s="6">
        <v>226617</v>
      </c>
      <c r="B11" s="13" t="s">
        <v>1722</v>
      </c>
      <c r="C11" s="6">
        <v>4308</v>
      </c>
      <c r="D11" s="6" t="s">
        <v>63</v>
      </c>
      <c r="E11" s="6" t="s">
        <v>10</v>
      </c>
      <c r="F11" s="6">
        <v>3</v>
      </c>
      <c r="G11" s="7" t="s">
        <v>1755</v>
      </c>
      <c r="H11" s="8" t="s">
        <v>1756</v>
      </c>
      <c r="I11" s="8" t="s">
        <v>1757</v>
      </c>
    </row>
    <row r="12" spans="1:9" ht="16.5" thickTop="1" thickBot="1">
      <c r="A12" s="6">
        <v>226629</v>
      </c>
      <c r="B12" s="13" t="s">
        <v>1722</v>
      </c>
      <c r="C12" s="6">
        <v>4386</v>
      </c>
      <c r="D12" s="6" t="s">
        <v>597</v>
      </c>
      <c r="E12" s="6" t="s">
        <v>23</v>
      </c>
      <c r="F12" s="6">
        <v>3</v>
      </c>
      <c r="G12" s="7" t="s">
        <v>1758</v>
      </c>
      <c r="H12" s="8" t="s">
        <v>1759</v>
      </c>
      <c r="I12" s="8" t="s">
        <v>1760</v>
      </c>
    </row>
    <row r="13" spans="1:9" ht="16.5" thickTop="1" thickBot="1">
      <c r="A13" s="6">
        <v>226630</v>
      </c>
      <c r="B13" s="13" t="s">
        <v>1722</v>
      </c>
      <c r="C13" s="6">
        <v>4388</v>
      </c>
      <c r="D13" s="6" t="s">
        <v>1725</v>
      </c>
      <c r="E13" s="6" t="s">
        <v>10</v>
      </c>
      <c r="F13" s="6">
        <v>4</v>
      </c>
      <c r="G13" s="7" t="s">
        <v>1730</v>
      </c>
      <c r="H13" s="8" t="s">
        <v>1761</v>
      </c>
      <c r="I13" s="8" t="s">
        <v>1762</v>
      </c>
    </row>
    <row r="14" spans="1:9" ht="16.5" thickTop="1" thickBot="1">
      <c r="A14" s="6">
        <v>226633</v>
      </c>
      <c r="B14" s="13" t="s">
        <v>1722</v>
      </c>
      <c r="C14" s="6">
        <v>4395</v>
      </c>
      <c r="D14" s="6" t="s">
        <v>1138</v>
      </c>
      <c r="E14" s="6" t="s">
        <v>10</v>
      </c>
      <c r="F14" s="6">
        <v>7</v>
      </c>
      <c r="G14" s="7" t="s">
        <v>1734</v>
      </c>
      <c r="H14" s="8" t="s">
        <v>1763</v>
      </c>
      <c r="I14" s="8" t="s">
        <v>1764</v>
      </c>
    </row>
    <row r="15" spans="1:9" ht="15" thickTop="1"/>
  </sheetData>
  <dataValidations count="1">
    <dataValidation type="custom" allowBlank="1" showInputMessage="1" showErrorMessage="1" errorTitle="Duplication Error" error="UNIQUE VALUE ALREADY EXISTS" sqref="H2:H1048576">
      <formula1>COUNTIF(H:H,H2)=1</formula1>
    </dataValidation>
  </dataValidations>
  <pageMargins left="0.7" right="0.7" top="0.75" bottom="0.75" header="0.3" footer="0.3"/>
  <pageSetup orientation="portrait" r:id="rId1"/>
  <picture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F23"/>
  <sheetViews>
    <sheetView showGridLines="0" topLeftCell="B1" zoomScaleNormal="100" workbookViewId="0">
      <selection activeCell="E13" sqref="E13"/>
    </sheetView>
  </sheetViews>
  <sheetFormatPr defaultRowHeight="14.25"/>
  <cols>
    <col min="2" max="2" width="46.875" customWidth="1"/>
    <col min="3" max="3" width="26.25" customWidth="1"/>
    <col min="4" max="4" width="26" customWidth="1"/>
    <col min="5" max="5" width="23.25" customWidth="1"/>
    <col min="6" max="6" width="57.125" customWidth="1"/>
  </cols>
  <sheetData>
    <row r="2" spans="2:6" ht="15" thickBot="1"/>
    <row r="3" spans="2:6" ht="46.5" thickTop="1" thickBot="1">
      <c r="B3" s="20" t="s">
        <v>636</v>
      </c>
      <c r="C3" s="20"/>
      <c r="D3" s="20"/>
      <c r="E3" s="20"/>
      <c r="F3" s="20"/>
    </row>
    <row r="4" spans="2:6" ht="15" thickTop="1"/>
    <row r="5" spans="2:6" ht="15" thickBot="1"/>
    <row r="6" spans="2:6" ht="42" thickTop="1" thickBot="1">
      <c r="B6" s="4" t="s">
        <v>637</v>
      </c>
      <c r="C6" s="4" t="s">
        <v>638</v>
      </c>
      <c r="D6" s="4" t="s">
        <v>639</v>
      </c>
      <c r="E6" s="4" t="s">
        <v>640</v>
      </c>
      <c r="F6" s="9" t="s">
        <v>641</v>
      </c>
    </row>
    <row r="7" spans="2:6" ht="35.450000000000003" customHeight="1" thickTop="1" thickBot="1">
      <c r="B7" s="3" t="s">
        <v>643</v>
      </c>
      <c r="C7" s="1">
        <v>499200</v>
      </c>
      <c r="D7" s="1">
        <f t="shared" ref="D7:D12" si="0">SUM(C7-E7)</f>
        <v>499200</v>
      </c>
      <c r="E7" s="1">
        <v>0</v>
      </c>
      <c r="F7" s="2" t="s">
        <v>1238</v>
      </c>
    </row>
    <row r="8" spans="2:6" ht="21.95" customHeight="1" thickTop="1" thickBot="1">
      <c r="B8" s="3" t="s">
        <v>644</v>
      </c>
      <c r="C8" s="1">
        <v>499200</v>
      </c>
      <c r="D8" s="1">
        <f t="shared" si="0"/>
        <v>461100</v>
      </c>
      <c r="E8" s="1">
        <v>38100</v>
      </c>
      <c r="F8" s="2" t="s">
        <v>642</v>
      </c>
    </row>
    <row r="9" spans="2:6" ht="21.95" customHeight="1" thickTop="1" thickBot="1">
      <c r="B9" s="3" t="s">
        <v>645</v>
      </c>
      <c r="C9" s="1">
        <v>499200</v>
      </c>
      <c r="D9" s="1">
        <f t="shared" si="0"/>
        <v>499200</v>
      </c>
      <c r="E9" s="1">
        <v>0</v>
      </c>
      <c r="F9" s="2" t="s">
        <v>642</v>
      </c>
    </row>
    <row r="10" spans="2:6" ht="21.95" customHeight="1" thickTop="1" thickBot="1">
      <c r="B10" s="3" t="s">
        <v>646</v>
      </c>
      <c r="C10" s="1">
        <v>249600</v>
      </c>
      <c r="D10" s="1">
        <f>SUM(C10-E10)</f>
        <v>249600</v>
      </c>
      <c r="E10" s="1">
        <v>0</v>
      </c>
      <c r="F10" s="2" t="s">
        <v>642</v>
      </c>
    </row>
    <row r="11" spans="2:6" ht="32.450000000000003" customHeight="1" thickTop="1" thickBot="1">
      <c r="B11" s="3" t="s">
        <v>647</v>
      </c>
      <c r="C11" s="1">
        <v>249600</v>
      </c>
      <c r="D11" s="1">
        <f t="shared" si="0"/>
        <v>249600</v>
      </c>
      <c r="E11" s="1">
        <v>0</v>
      </c>
      <c r="F11" s="2" t="s">
        <v>648</v>
      </c>
    </row>
    <row r="12" spans="2:6" ht="21.95" customHeight="1" thickTop="1" thickBot="1">
      <c r="B12" s="3" t="s">
        <v>1239</v>
      </c>
      <c r="C12" s="1">
        <v>40000</v>
      </c>
      <c r="D12" s="1">
        <f t="shared" si="0"/>
        <v>20700</v>
      </c>
      <c r="E12" s="1">
        <v>19300</v>
      </c>
      <c r="F12" s="2" t="s">
        <v>642</v>
      </c>
    </row>
    <row r="13" spans="2:6" ht="21.95" customHeight="1" thickTop="1" thickBot="1">
      <c r="B13" s="3" t="s">
        <v>1721</v>
      </c>
      <c r="C13" s="1">
        <v>120000</v>
      </c>
      <c r="D13" s="1">
        <f t="shared" ref="D13" si="1">SUM(C13-E13)</f>
        <v>120000</v>
      </c>
      <c r="E13" s="1">
        <v>0</v>
      </c>
      <c r="F13" s="2" t="s">
        <v>642</v>
      </c>
    </row>
    <row r="14" spans="2:6" ht="15" thickTop="1"/>
    <row r="15" spans="2:6" ht="15" thickBot="1"/>
    <row r="16" spans="2:6" ht="21.75" thickTop="1" thickBot="1">
      <c r="C16" s="21" t="s">
        <v>649</v>
      </c>
      <c r="D16" s="21"/>
      <c r="E16" s="4" t="s">
        <v>650</v>
      </c>
    </row>
    <row r="17" spans="3:5" ht="41.45" customHeight="1" thickTop="1" thickBot="1">
      <c r="C17" s="19" t="s">
        <v>651</v>
      </c>
      <c r="D17" s="19"/>
      <c r="E17" s="1">
        <f>SUM(D7:D11)</f>
        <v>1958700</v>
      </c>
    </row>
    <row r="18" spans="3:5" ht="39.6" customHeight="1" thickTop="1" thickBot="1">
      <c r="C18" s="19" t="s">
        <v>652</v>
      </c>
      <c r="D18" s="19"/>
      <c r="E18" s="1">
        <f>SUM(D12:D13)</f>
        <v>140700</v>
      </c>
    </row>
    <row r="19" spans="3:5" ht="15" thickTop="1"/>
    <row r="20" spans="3:5" ht="15" thickBot="1"/>
    <row r="21" spans="3:5" ht="45.95" customHeight="1" thickTop="1" thickBot="1">
      <c r="C21" s="21" t="s">
        <v>653</v>
      </c>
      <c r="D21" s="21"/>
      <c r="E21" s="4" t="s">
        <v>650</v>
      </c>
    </row>
    <row r="22" spans="3:5" ht="41.45" customHeight="1" thickTop="1" thickBot="1">
      <c r="C22" s="19" t="s">
        <v>731</v>
      </c>
      <c r="D22" s="19"/>
      <c r="E22" s="1">
        <f>E17</f>
        <v>1958700</v>
      </c>
    </row>
    <row r="23" spans="3:5" ht="15" thickTop="1"/>
  </sheetData>
  <mergeCells count="6">
    <mergeCell ref="C22:D22"/>
    <mergeCell ref="B3:F3"/>
    <mergeCell ref="C16:D16"/>
    <mergeCell ref="C17:D17"/>
    <mergeCell ref="C18:D18"/>
    <mergeCell ref="C21:D21"/>
  </mergeCells>
  <phoneticPr fontId="9" type="noConversion"/>
  <pageMargins left="0.7" right="0.7" top="0.75" bottom="0.75" header="0.3" footer="0.3"/>
  <pageSetup paperSize="256" orientation="portrait" horizontalDpi="203" verticalDpi="203" r:id="rId1"/>
  <ignoredErrors>
    <ignoredError sqref="E17:E18 D10:D13 E22 D7:D9" unlockedFormula="1"/>
  </ignoredErrors>
  <picture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C3:G12"/>
  <sheetViews>
    <sheetView showGridLines="0" topLeftCell="A5" zoomScaleNormal="100" workbookViewId="0">
      <selection activeCell="D11" sqref="D11"/>
    </sheetView>
  </sheetViews>
  <sheetFormatPr defaultRowHeight="14.25"/>
  <cols>
    <col min="2" max="2" width="73.875" customWidth="1"/>
    <col min="3" max="3" width="32.25" customWidth="1"/>
    <col min="4" max="6" width="18.875" customWidth="1"/>
    <col min="7" max="7" width="21.875" customWidth="1"/>
    <col min="8" max="8" width="38.25" customWidth="1"/>
  </cols>
  <sheetData>
    <row r="3" spans="3:7" ht="15" thickBot="1"/>
    <row r="4" spans="3:7" ht="41.1" customHeight="1" thickTop="1" thickBot="1">
      <c r="C4" s="22" t="s">
        <v>654</v>
      </c>
      <c r="D4" s="23"/>
      <c r="E4" s="23"/>
      <c r="F4" s="23"/>
      <c r="G4" s="24"/>
    </row>
    <row r="5" spans="3:7" ht="41.1" customHeight="1" thickTop="1" thickBot="1"/>
    <row r="6" spans="3:7" ht="48.6" customHeight="1" thickTop="1" thickBot="1">
      <c r="C6" s="10" t="s">
        <v>655</v>
      </c>
      <c r="D6" s="10" t="s">
        <v>656</v>
      </c>
      <c r="E6" s="10" t="s">
        <v>657</v>
      </c>
      <c r="F6" s="10" t="s">
        <v>658</v>
      </c>
      <c r="G6" s="11" t="s">
        <v>659</v>
      </c>
    </row>
    <row r="7" spans="3:7" ht="17.25" thickTop="1" thickBot="1">
      <c r="C7" s="2" t="s">
        <v>660</v>
      </c>
      <c r="D7" s="1">
        <v>1960</v>
      </c>
      <c r="E7" s="1"/>
      <c r="F7" s="1"/>
      <c r="G7" s="2" t="s">
        <v>661</v>
      </c>
    </row>
    <row r="8" spans="3:7" ht="17.25" thickTop="1" thickBot="1">
      <c r="C8" s="2" t="s">
        <v>662</v>
      </c>
      <c r="D8" s="1">
        <v>3236</v>
      </c>
      <c r="E8" s="1"/>
      <c r="F8" s="1"/>
      <c r="G8" s="2" t="s">
        <v>661</v>
      </c>
    </row>
    <row r="9" spans="3:7" ht="17.25" thickTop="1" thickBot="1">
      <c r="C9" s="2" t="s">
        <v>663</v>
      </c>
      <c r="D9" s="1" t="s">
        <v>664</v>
      </c>
      <c r="E9" s="1"/>
      <c r="F9" s="1"/>
      <c r="G9" s="2" t="s">
        <v>661</v>
      </c>
    </row>
    <row r="10" spans="3:7" ht="17.25" thickTop="1" thickBot="1">
      <c r="C10" s="2" t="s">
        <v>665</v>
      </c>
      <c r="D10" s="1">
        <v>1645</v>
      </c>
      <c r="E10" s="1"/>
      <c r="F10" s="1"/>
      <c r="G10" s="2" t="s">
        <v>661</v>
      </c>
    </row>
    <row r="11" spans="3:7" ht="15.75">
      <c r="C11" s="2" t="s">
        <v>666</v>
      </c>
      <c r="D11" s="1">
        <v>0</v>
      </c>
      <c r="E11" s="1"/>
      <c r="F11" s="1"/>
      <c r="G11" s="2" t="s">
        <v>661</v>
      </c>
    </row>
    <row r="12" spans="3:7" ht="15" thickTop="1"/>
  </sheetData>
  <mergeCells count="1">
    <mergeCell ref="C4:G4"/>
  </mergeCells>
  <pageMargins left="0.7" right="0.7" top="0.75" bottom="0.75" header="0.3" footer="0.3"/>
  <pageSetup scale="43" fitToHeight="0" orientation="portrait"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DAILY OUTPUT FILE 01-07-2026 </vt:lpstr>
      <vt:lpstr>DAILY OUTPUT FILE 02-07-2026</vt:lpstr>
      <vt:lpstr>DAILY OUTPUT FILE 03-07-2026 </vt:lpstr>
      <vt:lpstr>DAILY OUTPUT FILE 06-07-2026</vt:lpstr>
      <vt:lpstr>DAILY OUTPUT FILE 07-07-2026</vt:lpstr>
      <vt:lpstr>DAILY OUTPUT FILE 08-07-2026</vt:lpstr>
      <vt:lpstr>DAILY OUTPUT FILE 10-07-2026</vt:lpstr>
      <vt:lpstr>DAILY OUTPUT FILE 13-07-2026</vt:lpstr>
      <vt:lpstr>DAILY OUTPUT FILE 14-07-2026 </vt:lpstr>
      <vt:lpstr>DAILY OUTPUT FILE 15-07-2026</vt:lpstr>
      <vt:lpstr>DAILY OUTPUT FILE 16-07-2026 </vt:lpstr>
      <vt:lpstr>DAILY OUTPUT FILE 17-07-2026</vt:lpstr>
      <vt:lpstr>DAILY OUTPUT FILE 20-07-2026</vt:lpstr>
      <vt:lpstr>DAILY OUTPUT FILE 21-07-2026</vt:lpstr>
      <vt:lpstr>DAILY OUTPUT FILE 22-07-2026</vt:lpstr>
      <vt:lpstr>DAILY OUTPUT FILE 23-07-2026</vt:lpstr>
      <vt:lpstr>DAILY OUTPUT FILE 24-07-2026</vt:lpstr>
      <vt:lpstr>DAILY OUTPUT FILE 27-07-2026</vt:lpstr>
      <vt:lpstr>DAILY OUTPUT FILE 28-07-2026</vt:lpstr>
      <vt:lpstr>DAILY OUTPUT FILE 29-07-2026</vt:lpstr>
      <vt:lpstr>CAPITEC SUMMARY FILE REPORT </vt:lpstr>
      <vt:lpstr>DSV CONSUMABLES </vt:lpstr>
    </vt:vector>
  </TitlesOfParts>
  <Manager/>
  <Company>Capitec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Pillay</dc:creator>
  <cp:keywords/>
  <dc:description/>
  <cp:lastModifiedBy>Zizipho XAKAYI</cp:lastModifiedBy>
  <cp:revision/>
  <dcterms:created xsi:type="dcterms:W3CDTF">2025-08-18T13:28:19Z</dcterms:created>
  <dcterms:modified xsi:type="dcterms:W3CDTF">2026-07-29T08:46:07Z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8610cf-4e4f-4168-a9a0-556235a89a9b_Enabled">
    <vt:lpwstr>true</vt:lpwstr>
  </property>
  <property fmtid="{D5CDD505-2E9C-101B-9397-08002B2CF9AE}" pid="3" name="MSIP_Label_5f8610cf-4e4f-4168-a9a0-556235a89a9b_SetDate">
    <vt:lpwstr>2026-05-13T07:03:28Z</vt:lpwstr>
  </property>
  <property fmtid="{D5CDD505-2E9C-101B-9397-08002B2CF9AE}" pid="4" name="MSIP_Label_5f8610cf-4e4f-4168-a9a0-556235a89a9b_Method">
    <vt:lpwstr>Standard</vt:lpwstr>
  </property>
  <property fmtid="{D5CDD505-2E9C-101B-9397-08002B2CF9AE}" pid="5" name="MSIP_Label_5f8610cf-4e4f-4168-a9a0-556235a89a9b_Name">
    <vt:lpwstr>Unclassified</vt:lpwstr>
  </property>
  <property fmtid="{D5CDD505-2E9C-101B-9397-08002B2CF9AE}" pid="6" name="MSIP_Label_5f8610cf-4e4f-4168-a9a0-556235a89a9b_SiteId">
    <vt:lpwstr>7694d41c-5504-43d9-9e40-cb254ad755ec</vt:lpwstr>
  </property>
  <property fmtid="{D5CDD505-2E9C-101B-9397-08002B2CF9AE}" pid="7" name="MSIP_Label_5f8610cf-4e4f-4168-a9a0-556235a89a9b_ActionId">
    <vt:lpwstr>2db59374-a9d3-4889-b6d2-5799eeb3e2fa</vt:lpwstr>
  </property>
  <property fmtid="{D5CDD505-2E9C-101B-9397-08002B2CF9AE}" pid="8" name="MSIP_Label_5f8610cf-4e4f-4168-a9a0-556235a89a9b_ContentBits">
    <vt:lpwstr>0</vt:lpwstr>
  </property>
</Properties>
</file>